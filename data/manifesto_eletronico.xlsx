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Qualidade\QUALIDADE 2024-ATUAL\DOCUMENTOS\ATIVOS\9_DOCUMENTOS EM TRANSITO\Estoque\Entrega\"/>
    </mc:Choice>
  </mc:AlternateContent>
  <xr:revisionPtr revIDLastSave="0" documentId="13_ncr:1_{63A495C2-CEA1-4193-89C8-4029BBA6CB7A}" xr6:coauthVersionLast="47" xr6:coauthVersionMax="47" xr10:uidLastSave="{00000000-0000-0000-0000-000000000000}"/>
  <bookViews>
    <workbookView xWindow="-120" yWindow="-120" windowWidth="29040" windowHeight="15720" tabRatio="774" activeTab="5" xr2:uid="{00000000-000D-0000-FFFF-FFFF00000000}"/>
  </bookViews>
  <sheets>
    <sheet name="DASHBOARD GERAL" sheetId="3" r:id="rId1"/>
    <sheet name="DASHBOARD ADE" sheetId="8" r:id="rId2"/>
    <sheet name="DASHBOARD PIS" sheetId="9" r:id="rId3"/>
    <sheet name="DASHBOARD ASA" sheetId="10" r:id="rId4"/>
    <sheet name="DASHBOARD VAL" sheetId="11" r:id="rId5"/>
    <sheet name="GERENTES" sheetId="4" r:id="rId6"/>
    <sheet name="CONTROLE_DIARIO" sheetId="1" r:id="rId7"/>
    <sheet name="INSTRUÇÕES" sheetId="7" r:id="rId8"/>
    <sheet name="POWER_BI" sheetId="5" r:id="rId9"/>
    <sheet name="AUXILIAR" sheetId="6" r:id="rId10"/>
    <sheet name="TRATAMENTO" sheetId="2" r:id="rId11"/>
  </sheets>
  <definedNames>
    <definedName name="_xlnm._FilterDatabase" localSheetId="6" hidden="1">CONTROLE_DIARIO!$A$5:$P$505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2" l="1"/>
  <c r="T6" i="2" s="1"/>
  <c r="B6" i="2"/>
  <c r="C6" i="2"/>
  <c r="D6" i="2"/>
  <c r="E6" i="2"/>
  <c r="F6" i="2"/>
  <c r="G6" i="2"/>
  <c r="H6" i="2"/>
  <c r="I6" i="2"/>
  <c r="L6" i="2"/>
  <c r="M6" i="2"/>
  <c r="N6" i="2"/>
  <c r="S6" i="2"/>
  <c r="A7" i="2"/>
  <c r="B7" i="2"/>
  <c r="C7" i="2"/>
  <c r="D7" i="2"/>
  <c r="E7" i="2"/>
  <c r="F7" i="2"/>
  <c r="G7" i="2"/>
  <c r="H7" i="2"/>
  <c r="I7" i="2"/>
  <c r="L7" i="2"/>
  <c r="M7" i="2"/>
  <c r="N7" i="2"/>
  <c r="A8" i="2"/>
  <c r="S8" i="2" s="1"/>
  <c r="B8" i="2"/>
  <c r="C8" i="2"/>
  <c r="D8" i="2"/>
  <c r="E8" i="2"/>
  <c r="F8" i="2"/>
  <c r="G8" i="2"/>
  <c r="H8" i="2"/>
  <c r="I8" i="2"/>
  <c r="L8" i="2"/>
  <c r="M8" i="2"/>
  <c r="N8" i="2"/>
  <c r="U8" i="2"/>
  <c r="A9" i="2"/>
  <c r="U9" i="2" s="1"/>
  <c r="B9" i="2"/>
  <c r="C9" i="2"/>
  <c r="D9" i="2"/>
  <c r="E9" i="2"/>
  <c r="F9" i="2"/>
  <c r="G9" i="2"/>
  <c r="H9" i="2"/>
  <c r="I9" i="2"/>
  <c r="L9" i="2"/>
  <c r="M9" i="2"/>
  <c r="N9" i="2"/>
  <c r="S9" i="2"/>
  <c r="A10" i="2"/>
  <c r="T10" i="2" s="1"/>
  <c r="B10" i="2"/>
  <c r="C10" i="2"/>
  <c r="D10" i="2"/>
  <c r="E10" i="2"/>
  <c r="F10" i="2"/>
  <c r="G10" i="2"/>
  <c r="H10" i="2"/>
  <c r="I10" i="2"/>
  <c r="L10" i="2"/>
  <c r="M10" i="2"/>
  <c r="N10" i="2"/>
  <c r="S10" i="2"/>
  <c r="A11" i="2"/>
  <c r="B11" i="2"/>
  <c r="C11" i="2"/>
  <c r="D11" i="2"/>
  <c r="E11" i="2"/>
  <c r="F11" i="2"/>
  <c r="G11" i="2"/>
  <c r="H11" i="2"/>
  <c r="I11" i="2"/>
  <c r="L11" i="2"/>
  <c r="M11" i="2"/>
  <c r="N11" i="2"/>
  <c r="A12" i="2"/>
  <c r="S12" i="2" s="1"/>
  <c r="B12" i="2"/>
  <c r="C12" i="2"/>
  <c r="D12" i="2"/>
  <c r="E12" i="2"/>
  <c r="F12" i="2"/>
  <c r="G12" i="2"/>
  <c r="H12" i="2"/>
  <c r="I12" i="2"/>
  <c r="L12" i="2"/>
  <c r="M12" i="2"/>
  <c r="N12" i="2"/>
  <c r="U12" i="2"/>
  <c r="A13" i="2"/>
  <c r="B13" i="2"/>
  <c r="C13" i="2"/>
  <c r="D13" i="2"/>
  <c r="E13" i="2"/>
  <c r="F13" i="2"/>
  <c r="G13" i="2"/>
  <c r="H13" i="2"/>
  <c r="I13" i="2"/>
  <c r="L13" i="2"/>
  <c r="M13" i="2"/>
  <c r="N13" i="2"/>
  <c r="S13" i="2"/>
  <c r="A14" i="2"/>
  <c r="U14" i="2" s="1"/>
  <c r="B14" i="2"/>
  <c r="C14" i="2"/>
  <c r="D14" i="2"/>
  <c r="E14" i="2"/>
  <c r="F14" i="2"/>
  <c r="G14" i="2"/>
  <c r="H14" i="2"/>
  <c r="I14" i="2"/>
  <c r="L14" i="2"/>
  <c r="M14" i="2"/>
  <c r="N14" i="2"/>
  <c r="S14" i="2"/>
  <c r="A15" i="2"/>
  <c r="B15" i="2"/>
  <c r="C15" i="2"/>
  <c r="D15" i="2"/>
  <c r="E15" i="2"/>
  <c r="F15" i="2"/>
  <c r="G15" i="2"/>
  <c r="H15" i="2"/>
  <c r="I15" i="2"/>
  <c r="L15" i="2"/>
  <c r="M15" i="2"/>
  <c r="N15" i="2"/>
  <c r="A16" i="2"/>
  <c r="S16" i="2" s="1"/>
  <c r="B16" i="2"/>
  <c r="C16" i="2"/>
  <c r="D16" i="2"/>
  <c r="E16" i="2"/>
  <c r="F16" i="2"/>
  <c r="G16" i="2"/>
  <c r="H16" i="2"/>
  <c r="I16" i="2"/>
  <c r="L16" i="2"/>
  <c r="M16" i="2"/>
  <c r="N16" i="2"/>
  <c r="U16" i="2"/>
  <c r="A17" i="2"/>
  <c r="T17" i="2" s="1"/>
  <c r="B17" i="2"/>
  <c r="C17" i="2"/>
  <c r="D17" i="2"/>
  <c r="E17" i="2"/>
  <c r="F17" i="2"/>
  <c r="G17" i="2"/>
  <c r="H17" i="2"/>
  <c r="I17" i="2"/>
  <c r="L17" i="2"/>
  <c r="M17" i="2"/>
  <c r="N17" i="2"/>
  <c r="S17" i="2"/>
  <c r="A18" i="2"/>
  <c r="B18" i="2"/>
  <c r="C18" i="2"/>
  <c r="D18" i="2"/>
  <c r="E18" i="2"/>
  <c r="F18" i="2"/>
  <c r="G18" i="2"/>
  <c r="H18" i="2"/>
  <c r="I18" i="2"/>
  <c r="L18" i="2"/>
  <c r="M18" i="2"/>
  <c r="N18" i="2"/>
  <c r="S18" i="2"/>
  <c r="A19" i="2"/>
  <c r="B19" i="2"/>
  <c r="C19" i="2"/>
  <c r="D19" i="2"/>
  <c r="E19" i="2"/>
  <c r="F19" i="2"/>
  <c r="G19" i="2"/>
  <c r="H19" i="2"/>
  <c r="I19" i="2"/>
  <c r="L19" i="2"/>
  <c r="M19" i="2"/>
  <c r="N19" i="2"/>
  <c r="A20" i="2"/>
  <c r="B20" i="2"/>
  <c r="C20" i="2"/>
  <c r="D20" i="2"/>
  <c r="E20" i="2"/>
  <c r="F20" i="2"/>
  <c r="G20" i="2"/>
  <c r="H20" i="2"/>
  <c r="I20" i="2"/>
  <c r="L20" i="2"/>
  <c r="M20" i="2"/>
  <c r="N20" i="2"/>
  <c r="A21" i="2"/>
  <c r="B21" i="2"/>
  <c r="C21" i="2"/>
  <c r="D21" i="2"/>
  <c r="E21" i="2"/>
  <c r="F21" i="2"/>
  <c r="G21" i="2"/>
  <c r="H21" i="2"/>
  <c r="I21" i="2"/>
  <c r="L21" i="2"/>
  <c r="M21" i="2"/>
  <c r="N21" i="2"/>
  <c r="A22" i="2"/>
  <c r="S22" i="2" s="1"/>
  <c r="B22" i="2"/>
  <c r="C22" i="2"/>
  <c r="D22" i="2"/>
  <c r="E22" i="2"/>
  <c r="F22" i="2"/>
  <c r="G22" i="2"/>
  <c r="H22" i="2"/>
  <c r="I22" i="2"/>
  <c r="L22" i="2"/>
  <c r="M22" i="2"/>
  <c r="N22" i="2"/>
  <c r="U22" i="2"/>
  <c r="A23" i="2"/>
  <c r="S23" i="2" s="1"/>
  <c r="B23" i="2"/>
  <c r="C23" i="2"/>
  <c r="D23" i="2"/>
  <c r="E23" i="2"/>
  <c r="F23" i="2"/>
  <c r="G23" i="2"/>
  <c r="H23" i="2"/>
  <c r="I23" i="2"/>
  <c r="L23" i="2"/>
  <c r="M23" i="2"/>
  <c r="N23" i="2"/>
  <c r="A24" i="2"/>
  <c r="B24" i="2"/>
  <c r="C24" i="2"/>
  <c r="D24" i="2"/>
  <c r="E24" i="2"/>
  <c r="F24" i="2"/>
  <c r="G24" i="2"/>
  <c r="H24" i="2"/>
  <c r="I24" i="2"/>
  <c r="L24" i="2"/>
  <c r="M24" i="2"/>
  <c r="N24" i="2"/>
  <c r="A25" i="2"/>
  <c r="B25" i="2"/>
  <c r="C25" i="2"/>
  <c r="D25" i="2"/>
  <c r="E25" i="2"/>
  <c r="F25" i="2"/>
  <c r="G25" i="2"/>
  <c r="H25" i="2"/>
  <c r="I25" i="2"/>
  <c r="L25" i="2"/>
  <c r="M25" i="2"/>
  <c r="N25" i="2"/>
  <c r="U25" i="2"/>
  <c r="A26" i="2"/>
  <c r="B26" i="2"/>
  <c r="C26" i="2"/>
  <c r="D26" i="2"/>
  <c r="E26" i="2"/>
  <c r="F26" i="2"/>
  <c r="G26" i="2"/>
  <c r="H26" i="2"/>
  <c r="I26" i="2"/>
  <c r="L26" i="2"/>
  <c r="M26" i="2"/>
  <c r="N26" i="2"/>
  <c r="S26" i="2"/>
  <c r="A27" i="2"/>
  <c r="S27" i="2" s="1"/>
  <c r="B27" i="2"/>
  <c r="C27" i="2"/>
  <c r="D27" i="2"/>
  <c r="E27" i="2"/>
  <c r="F27" i="2"/>
  <c r="G27" i="2"/>
  <c r="H27" i="2"/>
  <c r="I27" i="2"/>
  <c r="L27" i="2"/>
  <c r="M27" i="2"/>
  <c r="N27" i="2"/>
  <c r="U27" i="2"/>
  <c r="A28" i="2"/>
  <c r="U28" i="2" s="1"/>
  <c r="B28" i="2"/>
  <c r="C28" i="2"/>
  <c r="D28" i="2"/>
  <c r="E28" i="2"/>
  <c r="F28" i="2"/>
  <c r="G28" i="2"/>
  <c r="H28" i="2"/>
  <c r="I28" i="2"/>
  <c r="L28" i="2"/>
  <c r="M28" i="2"/>
  <c r="N28" i="2"/>
  <c r="A29" i="2"/>
  <c r="T29" i="2" s="1"/>
  <c r="B29" i="2"/>
  <c r="C29" i="2"/>
  <c r="D29" i="2"/>
  <c r="E29" i="2"/>
  <c r="F29" i="2"/>
  <c r="G29" i="2"/>
  <c r="H29" i="2"/>
  <c r="I29" i="2"/>
  <c r="L29" i="2"/>
  <c r="M29" i="2"/>
  <c r="N29" i="2"/>
  <c r="S29" i="2"/>
  <c r="A30" i="2"/>
  <c r="T30" i="2" s="1"/>
  <c r="B30" i="2"/>
  <c r="C30" i="2"/>
  <c r="D30" i="2"/>
  <c r="E30" i="2"/>
  <c r="F30" i="2"/>
  <c r="G30" i="2"/>
  <c r="H30" i="2"/>
  <c r="I30" i="2"/>
  <c r="L30" i="2"/>
  <c r="M30" i="2"/>
  <c r="N30" i="2"/>
  <c r="S30" i="2"/>
  <c r="A31" i="2"/>
  <c r="B31" i="2"/>
  <c r="C31" i="2"/>
  <c r="D31" i="2"/>
  <c r="E31" i="2"/>
  <c r="F31" i="2"/>
  <c r="G31" i="2"/>
  <c r="H31" i="2"/>
  <c r="I31" i="2"/>
  <c r="L31" i="2"/>
  <c r="M31" i="2"/>
  <c r="N31" i="2"/>
  <c r="T31" i="2"/>
  <c r="A32" i="2"/>
  <c r="B32" i="2"/>
  <c r="C32" i="2"/>
  <c r="D32" i="2"/>
  <c r="E32" i="2"/>
  <c r="F32" i="2"/>
  <c r="G32" i="2"/>
  <c r="H32" i="2"/>
  <c r="I32" i="2"/>
  <c r="L32" i="2"/>
  <c r="M32" i="2"/>
  <c r="N32" i="2"/>
  <c r="U32" i="2"/>
  <c r="A33" i="2"/>
  <c r="T33" i="2" s="1"/>
  <c r="B33" i="2"/>
  <c r="C33" i="2"/>
  <c r="D33" i="2"/>
  <c r="E33" i="2"/>
  <c r="F33" i="2"/>
  <c r="G33" i="2"/>
  <c r="H33" i="2"/>
  <c r="I33" i="2"/>
  <c r="L33" i="2"/>
  <c r="M33" i="2"/>
  <c r="N33" i="2"/>
  <c r="S33" i="2"/>
  <c r="A34" i="2"/>
  <c r="B34" i="2"/>
  <c r="C34" i="2"/>
  <c r="D34" i="2"/>
  <c r="E34" i="2"/>
  <c r="F34" i="2"/>
  <c r="G34" i="2"/>
  <c r="H34" i="2"/>
  <c r="I34" i="2"/>
  <c r="L34" i="2"/>
  <c r="M34" i="2"/>
  <c r="N34" i="2"/>
  <c r="S34" i="2"/>
  <c r="A35" i="2"/>
  <c r="B35" i="2"/>
  <c r="C35" i="2"/>
  <c r="D35" i="2"/>
  <c r="E35" i="2"/>
  <c r="F35" i="2"/>
  <c r="G35" i="2"/>
  <c r="H35" i="2"/>
  <c r="I35" i="2"/>
  <c r="L35" i="2"/>
  <c r="M35" i="2"/>
  <c r="N35" i="2"/>
  <c r="A36" i="2"/>
  <c r="U36" i="2" s="1"/>
  <c r="B36" i="2"/>
  <c r="C36" i="2"/>
  <c r="D36" i="2"/>
  <c r="E36" i="2"/>
  <c r="F36" i="2"/>
  <c r="G36" i="2"/>
  <c r="H36" i="2"/>
  <c r="I36" i="2"/>
  <c r="L36" i="2"/>
  <c r="M36" i="2"/>
  <c r="N36" i="2"/>
  <c r="A37" i="2"/>
  <c r="T37" i="2" s="1"/>
  <c r="B37" i="2"/>
  <c r="C37" i="2"/>
  <c r="D37" i="2"/>
  <c r="E37" i="2"/>
  <c r="F37" i="2"/>
  <c r="G37" i="2"/>
  <c r="H37" i="2"/>
  <c r="I37" i="2"/>
  <c r="L37" i="2"/>
  <c r="M37" i="2"/>
  <c r="N37" i="2"/>
  <c r="S37" i="2"/>
  <c r="U37" i="2"/>
  <c r="A38" i="2"/>
  <c r="B38" i="2"/>
  <c r="C38" i="2"/>
  <c r="D38" i="2"/>
  <c r="E38" i="2"/>
  <c r="F38" i="2"/>
  <c r="G38" i="2"/>
  <c r="H38" i="2"/>
  <c r="I38" i="2"/>
  <c r="L38" i="2"/>
  <c r="M38" i="2"/>
  <c r="N38" i="2"/>
  <c r="A39" i="2"/>
  <c r="S39" i="2" s="1"/>
  <c r="B39" i="2"/>
  <c r="C39" i="2"/>
  <c r="D39" i="2"/>
  <c r="E39" i="2"/>
  <c r="F39" i="2"/>
  <c r="G39" i="2"/>
  <c r="H39" i="2"/>
  <c r="I39" i="2"/>
  <c r="L39" i="2"/>
  <c r="M39" i="2"/>
  <c r="N39" i="2"/>
  <c r="A40" i="2"/>
  <c r="B40" i="2"/>
  <c r="C40" i="2"/>
  <c r="D40" i="2"/>
  <c r="E40" i="2"/>
  <c r="F40" i="2"/>
  <c r="G40" i="2"/>
  <c r="H40" i="2"/>
  <c r="I40" i="2"/>
  <c r="L40" i="2"/>
  <c r="M40" i="2"/>
  <c r="N40" i="2"/>
  <c r="A41" i="2"/>
  <c r="B41" i="2"/>
  <c r="C41" i="2"/>
  <c r="D41" i="2"/>
  <c r="E41" i="2"/>
  <c r="F41" i="2"/>
  <c r="G41" i="2"/>
  <c r="H41" i="2"/>
  <c r="I41" i="2"/>
  <c r="L41" i="2"/>
  <c r="M41" i="2"/>
  <c r="N41" i="2"/>
  <c r="S41" i="2"/>
  <c r="A42" i="2"/>
  <c r="B42" i="2"/>
  <c r="C42" i="2"/>
  <c r="D42" i="2"/>
  <c r="E42" i="2"/>
  <c r="F42" i="2"/>
  <c r="G42" i="2"/>
  <c r="H42" i="2"/>
  <c r="I42" i="2"/>
  <c r="L42" i="2"/>
  <c r="M42" i="2"/>
  <c r="N42" i="2"/>
  <c r="A43" i="2"/>
  <c r="S43" i="2" s="1"/>
  <c r="B43" i="2"/>
  <c r="C43" i="2"/>
  <c r="D43" i="2"/>
  <c r="E43" i="2"/>
  <c r="F43" i="2"/>
  <c r="G43" i="2"/>
  <c r="H43" i="2"/>
  <c r="I43" i="2"/>
  <c r="L43" i="2"/>
  <c r="M43" i="2"/>
  <c r="N43" i="2"/>
  <c r="U43" i="2"/>
  <c r="A44" i="2"/>
  <c r="U44" i="2" s="1"/>
  <c r="B44" i="2"/>
  <c r="C44" i="2"/>
  <c r="D44" i="2"/>
  <c r="E44" i="2"/>
  <c r="F44" i="2"/>
  <c r="G44" i="2"/>
  <c r="H44" i="2"/>
  <c r="I44" i="2"/>
  <c r="L44" i="2"/>
  <c r="M44" i="2"/>
  <c r="N44" i="2"/>
  <c r="A45" i="2"/>
  <c r="B45" i="2"/>
  <c r="C45" i="2"/>
  <c r="D45" i="2"/>
  <c r="E45" i="2"/>
  <c r="F45" i="2"/>
  <c r="G45" i="2"/>
  <c r="H45" i="2"/>
  <c r="I45" i="2"/>
  <c r="L45" i="2"/>
  <c r="M45" i="2"/>
  <c r="N45" i="2"/>
  <c r="A46" i="2"/>
  <c r="B46" i="2"/>
  <c r="C46" i="2"/>
  <c r="D46" i="2"/>
  <c r="E46" i="2"/>
  <c r="F46" i="2"/>
  <c r="G46" i="2"/>
  <c r="H46" i="2"/>
  <c r="I46" i="2"/>
  <c r="L46" i="2"/>
  <c r="M46" i="2"/>
  <c r="N46" i="2"/>
  <c r="S46" i="2"/>
  <c r="A47" i="2"/>
  <c r="B47" i="2"/>
  <c r="C47" i="2"/>
  <c r="D47" i="2"/>
  <c r="E47" i="2"/>
  <c r="F47" i="2"/>
  <c r="G47" i="2"/>
  <c r="H47" i="2"/>
  <c r="I47" i="2"/>
  <c r="L47" i="2"/>
  <c r="M47" i="2"/>
  <c r="N47" i="2"/>
  <c r="U47" i="2"/>
  <c r="A48" i="2"/>
  <c r="U48" i="2" s="1"/>
  <c r="B48" i="2"/>
  <c r="C48" i="2"/>
  <c r="D48" i="2"/>
  <c r="E48" i="2"/>
  <c r="F48" i="2"/>
  <c r="G48" i="2"/>
  <c r="H48" i="2"/>
  <c r="I48" i="2"/>
  <c r="L48" i="2"/>
  <c r="M48" i="2"/>
  <c r="N48" i="2"/>
  <c r="A49" i="2"/>
  <c r="B49" i="2"/>
  <c r="C49" i="2"/>
  <c r="D49" i="2"/>
  <c r="E49" i="2"/>
  <c r="F49" i="2"/>
  <c r="G49" i="2"/>
  <c r="H49" i="2"/>
  <c r="I49" i="2"/>
  <c r="L49" i="2"/>
  <c r="M49" i="2"/>
  <c r="N49" i="2"/>
  <c r="S49" i="2"/>
  <c r="A50" i="2"/>
  <c r="T50" i="2" s="1"/>
  <c r="B50" i="2"/>
  <c r="C50" i="2"/>
  <c r="D50" i="2"/>
  <c r="E50" i="2"/>
  <c r="F50" i="2"/>
  <c r="G50" i="2"/>
  <c r="H50" i="2"/>
  <c r="I50" i="2"/>
  <c r="L50" i="2"/>
  <c r="M50" i="2"/>
  <c r="N50" i="2"/>
  <c r="S50" i="2"/>
  <c r="A51" i="2"/>
  <c r="B51" i="2"/>
  <c r="C51" i="2"/>
  <c r="D51" i="2"/>
  <c r="E51" i="2"/>
  <c r="F51" i="2"/>
  <c r="G51" i="2"/>
  <c r="H51" i="2"/>
  <c r="I51" i="2"/>
  <c r="L51" i="2"/>
  <c r="M51" i="2"/>
  <c r="N51" i="2"/>
  <c r="A52" i="2"/>
  <c r="B52" i="2"/>
  <c r="C52" i="2"/>
  <c r="D52" i="2"/>
  <c r="E52" i="2"/>
  <c r="F52" i="2"/>
  <c r="G52" i="2"/>
  <c r="H52" i="2"/>
  <c r="I52" i="2"/>
  <c r="L52" i="2"/>
  <c r="M52" i="2"/>
  <c r="N52" i="2"/>
  <c r="U52" i="2"/>
  <c r="A53" i="2"/>
  <c r="U53" i="2" s="1"/>
  <c r="B53" i="2"/>
  <c r="C53" i="2"/>
  <c r="D53" i="2"/>
  <c r="E53" i="2"/>
  <c r="F53" i="2"/>
  <c r="G53" i="2"/>
  <c r="H53" i="2"/>
  <c r="I53" i="2"/>
  <c r="L53" i="2"/>
  <c r="M53" i="2"/>
  <c r="N53" i="2"/>
  <c r="S53" i="2"/>
  <c r="A54" i="2"/>
  <c r="T54" i="2" s="1"/>
  <c r="B54" i="2"/>
  <c r="C54" i="2"/>
  <c r="D54" i="2"/>
  <c r="E54" i="2"/>
  <c r="F54" i="2"/>
  <c r="G54" i="2"/>
  <c r="H54" i="2"/>
  <c r="I54" i="2"/>
  <c r="L54" i="2"/>
  <c r="M54" i="2"/>
  <c r="N54" i="2"/>
  <c r="S54" i="2"/>
  <c r="A55" i="2"/>
  <c r="S55" i="2" s="1"/>
  <c r="B55" i="2"/>
  <c r="C55" i="2"/>
  <c r="D55" i="2"/>
  <c r="E55" i="2"/>
  <c r="F55" i="2"/>
  <c r="G55" i="2"/>
  <c r="H55" i="2"/>
  <c r="I55" i="2"/>
  <c r="L55" i="2"/>
  <c r="M55" i="2"/>
  <c r="N55" i="2"/>
  <c r="T55" i="2"/>
  <c r="A56" i="2"/>
  <c r="B56" i="2"/>
  <c r="C56" i="2"/>
  <c r="D56" i="2"/>
  <c r="E56" i="2"/>
  <c r="F56" i="2"/>
  <c r="G56" i="2"/>
  <c r="H56" i="2"/>
  <c r="I56" i="2"/>
  <c r="L56" i="2"/>
  <c r="M56" i="2"/>
  <c r="N56" i="2"/>
  <c r="S56" i="2"/>
  <c r="A57" i="2"/>
  <c r="T57" i="2" s="1"/>
  <c r="B57" i="2"/>
  <c r="C57" i="2"/>
  <c r="D57" i="2"/>
  <c r="E57" i="2"/>
  <c r="F57" i="2"/>
  <c r="G57" i="2"/>
  <c r="H57" i="2"/>
  <c r="I57" i="2"/>
  <c r="L57" i="2"/>
  <c r="M57" i="2"/>
  <c r="N57" i="2"/>
  <c r="S57" i="2"/>
  <c r="A58" i="2"/>
  <c r="B58" i="2"/>
  <c r="C58" i="2"/>
  <c r="D58" i="2"/>
  <c r="E58" i="2"/>
  <c r="F58" i="2"/>
  <c r="G58" i="2"/>
  <c r="H58" i="2"/>
  <c r="I58" i="2"/>
  <c r="L58" i="2"/>
  <c r="M58" i="2"/>
  <c r="N58" i="2"/>
  <c r="T58" i="2"/>
  <c r="A59" i="2"/>
  <c r="B59" i="2"/>
  <c r="C59" i="2"/>
  <c r="D59" i="2"/>
  <c r="E59" i="2"/>
  <c r="F59" i="2"/>
  <c r="G59" i="2"/>
  <c r="H59" i="2"/>
  <c r="I59" i="2"/>
  <c r="L59" i="2"/>
  <c r="M59" i="2"/>
  <c r="N59" i="2"/>
  <c r="A60" i="2"/>
  <c r="B60" i="2"/>
  <c r="C60" i="2"/>
  <c r="D60" i="2"/>
  <c r="E60" i="2"/>
  <c r="F60" i="2"/>
  <c r="G60" i="2"/>
  <c r="H60" i="2"/>
  <c r="I60" i="2"/>
  <c r="L60" i="2"/>
  <c r="M60" i="2"/>
  <c r="N60" i="2"/>
  <c r="A61" i="2"/>
  <c r="B61" i="2"/>
  <c r="C61" i="2"/>
  <c r="D61" i="2"/>
  <c r="E61" i="2"/>
  <c r="F61" i="2"/>
  <c r="G61" i="2"/>
  <c r="H61" i="2"/>
  <c r="I61" i="2"/>
  <c r="L61" i="2"/>
  <c r="M61" i="2"/>
  <c r="N61" i="2"/>
  <c r="A62" i="2"/>
  <c r="B62" i="2"/>
  <c r="C62" i="2"/>
  <c r="D62" i="2"/>
  <c r="E62" i="2"/>
  <c r="F62" i="2"/>
  <c r="G62" i="2"/>
  <c r="H62" i="2"/>
  <c r="I62" i="2"/>
  <c r="L62" i="2"/>
  <c r="M62" i="2"/>
  <c r="N62" i="2"/>
  <c r="A63" i="2"/>
  <c r="B63" i="2"/>
  <c r="C63" i="2"/>
  <c r="D63" i="2"/>
  <c r="E63" i="2"/>
  <c r="F63" i="2"/>
  <c r="G63" i="2"/>
  <c r="H63" i="2"/>
  <c r="I63" i="2"/>
  <c r="L63" i="2"/>
  <c r="M63" i="2"/>
  <c r="N63" i="2"/>
  <c r="A64" i="2"/>
  <c r="T64" i="2" s="1"/>
  <c r="B64" i="2"/>
  <c r="C64" i="2"/>
  <c r="D64" i="2"/>
  <c r="E64" i="2"/>
  <c r="F64" i="2"/>
  <c r="G64" i="2"/>
  <c r="H64" i="2"/>
  <c r="I64" i="2"/>
  <c r="L64" i="2"/>
  <c r="M64" i="2"/>
  <c r="N64" i="2"/>
  <c r="U64" i="2"/>
  <c r="A65" i="2"/>
  <c r="B65" i="2"/>
  <c r="C65" i="2"/>
  <c r="D65" i="2"/>
  <c r="E65" i="2"/>
  <c r="F65" i="2"/>
  <c r="G65" i="2"/>
  <c r="H65" i="2"/>
  <c r="I65" i="2"/>
  <c r="L65" i="2"/>
  <c r="M65" i="2"/>
  <c r="N65" i="2"/>
  <c r="A66" i="2"/>
  <c r="S66" i="2" s="1"/>
  <c r="B66" i="2"/>
  <c r="C66" i="2"/>
  <c r="D66" i="2"/>
  <c r="E66" i="2"/>
  <c r="F66" i="2"/>
  <c r="G66" i="2"/>
  <c r="H66" i="2"/>
  <c r="I66" i="2"/>
  <c r="L66" i="2"/>
  <c r="M66" i="2"/>
  <c r="N66" i="2"/>
  <c r="U66" i="2"/>
  <c r="A67" i="2"/>
  <c r="B67" i="2"/>
  <c r="C67" i="2"/>
  <c r="D67" i="2"/>
  <c r="E67" i="2"/>
  <c r="F67" i="2"/>
  <c r="G67" i="2"/>
  <c r="H67" i="2"/>
  <c r="I67" i="2"/>
  <c r="L67" i="2"/>
  <c r="M67" i="2"/>
  <c r="N67" i="2"/>
  <c r="S67" i="2"/>
  <c r="A68" i="2"/>
  <c r="U68" i="2" s="1"/>
  <c r="B68" i="2"/>
  <c r="C68" i="2"/>
  <c r="D68" i="2"/>
  <c r="E68" i="2"/>
  <c r="F68" i="2"/>
  <c r="G68" i="2"/>
  <c r="H68" i="2"/>
  <c r="I68" i="2"/>
  <c r="L68" i="2"/>
  <c r="M68" i="2"/>
  <c r="N68" i="2"/>
  <c r="S68" i="2"/>
  <c r="A69" i="2"/>
  <c r="B69" i="2"/>
  <c r="C69" i="2"/>
  <c r="D69" i="2"/>
  <c r="E69" i="2"/>
  <c r="F69" i="2"/>
  <c r="G69" i="2"/>
  <c r="H69" i="2"/>
  <c r="I69" i="2"/>
  <c r="L69" i="2"/>
  <c r="M69" i="2"/>
  <c r="N69" i="2"/>
  <c r="U69" i="2"/>
  <c r="A70" i="2"/>
  <c r="B70" i="2"/>
  <c r="C70" i="2"/>
  <c r="D70" i="2"/>
  <c r="E70" i="2"/>
  <c r="F70" i="2"/>
  <c r="G70" i="2"/>
  <c r="H70" i="2"/>
  <c r="I70" i="2"/>
  <c r="L70" i="2"/>
  <c r="M70" i="2"/>
  <c r="N70" i="2"/>
  <c r="T70" i="2"/>
  <c r="A71" i="2"/>
  <c r="B71" i="2"/>
  <c r="C71" i="2"/>
  <c r="D71" i="2"/>
  <c r="E71" i="2"/>
  <c r="F71" i="2"/>
  <c r="G71" i="2"/>
  <c r="H71" i="2"/>
  <c r="I71" i="2"/>
  <c r="L71" i="2"/>
  <c r="M71" i="2"/>
  <c r="N71" i="2"/>
  <c r="A72" i="2"/>
  <c r="B72" i="2"/>
  <c r="C72" i="2"/>
  <c r="D72" i="2"/>
  <c r="E72" i="2"/>
  <c r="F72" i="2"/>
  <c r="G72" i="2"/>
  <c r="H72" i="2"/>
  <c r="I72" i="2"/>
  <c r="L72" i="2"/>
  <c r="M72" i="2"/>
  <c r="N72" i="2"/>
  <c r="T72" i="2"/>
  <c r="A73" i="2"/>
  <c r="B73" i="2"/>
  <c r="C73" i="2"/>
  <c r="D73" i="2"/>
  <c r="E73" i="2"/>
  <c r="F73" i="2"/>
  <c r="G73" i="2"/>
  <c r="H73" i="2"/>
  <c r="I73" i="2"/>
  <c r="L73" i="2"/>
  <c r="M73" i="2"/>
  <c r="N73" i="2"/>
  <c r="A74" i="2"/>
  <c r="B74" i="2"/>
  <c r="C74" i="2"/>
  <c r="D74" i="2"/>
  <c r="E74" i="2"/>
  <c r="F74" i="2"/>
  <c r="G74" i="2"/>
  <c r="H74" i="2"/>
  <c r="I74" i="2"/>
  <c r="L74" i="2"/>
  <c r="M74" i="2"/>
  <c r="N74" i="2"/>
  <c r="A75" i="2"/>
  <c r="T75" i="2" s="1"/>
  <c r="B75" i="2"/>
  <c r="C75" i="2"/>
  <c r="D75" i="2"/>
  <c r="E75" i="2"/>
  <c r="F75" i="2"/>
  <c r="G75" i="2"/>
  <c r="H75" i="2"/>
  <c r="I75" i="2"/>
  <c r="L75" i="2"/>
  <c r="M75" i="2"/>
  <c r="N75" i="2"/>
  <c r="S75" i="2"/>
  <c r="A76" i="2"/>
  <c r="T76" i="2" s="1"/>
  <c r="B76" i="2"/>
  <c r="C76" i="2"/>
  <c r="D76" i="2"/>
  <c r="E76" i="2"/>
  <c r="F76" i="2"/>
  <c r="G76" i="2"/>
  <c r="H76" i="2"/>
  <c r="I76" i="2"/>
  <c r="L76" i="2"/>
  <c r="M76" i="2"/>
  <c r="N76" i="2"/>
  <c r="S76" i="2"/>
  <c r="A77" i="2"/>
  <c r="T77" i="2" s="1"/>
  <c r="B77" i="2"/>
  <c r="C77" i="2"/>
  <c r="D77" i="2"/>
  <c r="E77" i="2"/>
  <c r="F77" i="2"/>
  <c r="G77" i="2"/>
  <c r="H77" i="2"/>
  <c r="I77" i="2"/>
  <c r="L77" i="2"/>
  <c r="M77" i="2"/>
  <c r="N77" i="2"/>
  <c r="S77" i="2"/>
  <c r="U77" i="2"/>
  <c r="A78" i="2"/>
  <c r="B78" i="2"/>
  <c r="C78" i="2"/>
  <c r="D78" i="2"/>
  <c r="E78" i="2"/>
  <c r="F78" i="2"/>
  <c r="G78" i="2"/>
  <c r="H78" i="2"/>
  <c r="I78" i="2"/>
  <c r="L78" i="2"/>
  <c r="M78" i="2"/>
  <c r="N78" i="2"/>
  <c r="A79" i="2"/>
  <c r="B79" i="2"/>
  <c r="C79" i="2"/>
  <c r="D79" i="2"/>
  <c r="E79" i="2"/>
  <c r="F79" i="2"/>
  <c r="G79" i="2"/>
  <c r="H79" i="2"/>
  <c r="I79" i="2"/>
  <c r="L79" i="2"/>
  <c r="M79" i="2"/>
  <c r="N79" i="2"/>
  <c r="A80" i="2"/>
  <c r="B80" i="2"/>
  <c r="C80" i="2"/>
  <c r="D80" i="2"/>
  <c r="E80" i="2"/>
  <c r="F80" i="2"/>
  <c r="G80" i="2"/>
  <c r="H80" i="2"/>
  <c r="I80" i="2"/>
  <c r="L80" i="2"/>
  <c r="M80" i="2"/>
  <c r="N80" i="2"/>
  <c r="T80" i="2"/>
  <c r="A81" i="2"/>
  <c r="B81" i="2"/>
  <c r="C81" i="2"/>
  <c r="D81" i="2"/>
  <c r="E81" i="2"/>
  <c r="F81" i="2"/>
  <c r="G81" i="2"/>
  <c r="H81" i="2"/>
  <c r="I81" i="2"/>
  <c r="L81" i="2"/>
  <c r="M81" i="2"/>
  <c r="N81" i="2"/>
  <c r="A82" i="2"/>
  <c r="B82" i="2"/>
  <c r="C82" i="2"/>
  <c r="D82" i="2"/>
  <c r="E82" i="2"/>
  <c r="F82" i="2"/>
  <c r="G82" i="2"/>
  <c r="H82" i="2"/>
  <c r="I82" i="2"/>
  <c r="L82" i="2"/>
  <c r="M82" i="2"/>
  <c r="N82" i="2"/>
  <c r="A83" i="2"/>
  <c r="T83" i="2" s="1"/>
  <c r="B83" i="2"/>
  <c r="C83" i="2"/>
  <c r="D83" i="2"/>
  <c r="E83" i="2"/>
  <c r="F83" i="2"/>
  <c r="G83" i="2"/>
  <c r="H83" i="2"/>
  <c r="I83" i="2"/>
  <c r="L83" i="2"/>
  <c r="M83" i="2"/>
  <c r="N83" i="2"/>
  <c r="S83" i="2"/>
  <c r="A84" i="2"/>
  <c r="B84" i="2"/>
  <c r="C84" i="2"/>
  <c r="D84" i="2"/>
  <c r="E84" i="2"/>
  <c r="F84" i="2"/>
  <c r="G84" i="2"/>
  <c r="H84" i="2"/>
  <c r="I84" i="2"/>
  <c r="L84" i="2"/>
  <c r="M84" i="2"/>
  <c r="N84" i="2"/>
  <c r="S84" i="2"/>
  <c r="T84" i="2"/>
  <c r="U84" i="2"/>
  <c r="A85" i="2"/>
  <c r="T85" i="2" s="1"/>
  <c r="B85" i="2"/>
  <c r="C85" i="2"/>
  <c r="D85" i="2"/>
  <c r="E85" i="2"/>
  <c r="F85" i="2"/>
  <c r="G85" i="2"/>
  <c r="H85" i="2"/>
  <c r="I85" i="2"/>
  <c r="L85" i="2"/>
  <c r="M85" i="2"/>
  <c r="N85" i="2"/>
  <c r="S85" i="2"/>
  <c r="A86" i="2"/>
  <c r="B86" i="2"/>
  <c r="C86" i="2"/>
  <c r="D86" i="2"/>
  <c r="E86" i="2"/>
  <c r="F86" i="2"/>
  <c r="G86" i="2"/>
  <c r="H86" i="2"/>
  <c r="I86" i="2"/>
  <c r="L86" i="2"/>
  <c r="M86" i="2"/>
  <c r="N86" i="2"/>
  <c r="A87" i="2"/>
  <c r="B87" i="2"/>
  <c r="C87" i="2"/>
  <c r="D87" i="2"/>
  <c r="E87" i="2"/>
  <c r="F87" i="2"/>
  <c r="G87" i="2"/>
  <c r="H87" i="2"/>
  <c r="I87" i="2"/>
  <c r="L87" i="2"/>
  <c r="M87" i="2"/>
  <c r="N87" i="2"/>
  <c r="A88" i="2"/>
  <c r="B88" i="2"/>
  <c r="C88" i="2"/>
  <c r="D88" i="2"/>
  <c r="E88" i="2"/>
  <c r="F88" i="2"/>
  <c r="G88" i="2"/>
  <c r="H88" i="2"/>
  <c r="I88" i="2"/>
  <c r="L88" i="2"/>
  <c r="M88" i="2"/>
  <c r="N88" i="2"/>
  <c r="T88" i="2"/>
  <c r="A89" i="2"/>
  <c r="B89" i="2"/>
  <c r="C89" i="2"/>
  <c r="D89" i="2"/>
  <c r="E89" i="2"/>
  <c r="F89" i="2"/>
  <c r="G89" i="2"/>
  <c r="H89" i="2"/>
  <c r="I89" i="2"/>
  <c r="L89" i="2"/>
  <c r="M89" i="2"/>
  <c r="N89" i="2"/>
  <c r="A90" i="2"/>
  <c r="B90" i="2"/>
  <c r="C90" i="2"/>
  <c r="D90" i="2"/>
  <c r="E90" i="2"/>
  <c r="F90" i="2"/>
  <c r="G90" i="2"/>
  <c r="H90" i="2"/>
  <c r="I90" i="2"/>
  <c r="L90" i="2"/>
  <c r="M90" i="2"/>
  <c r="N90" i="2"/>
  <c r="A91" i="2"/>
  <c r="T91" i="2" s="1"/>
  <c r="B91" i="2"/>
  <c r="C91" i="2"/>
  <c r="D91" i="2"/>
  <c r="E91" i="2"/>
  <c r="F91" i="2"/>
  <c r="G91" i="2"/>
  <c r="H91" i="2"/>
  <c r="I91" i="2"/>
  <c r="L91" i="2"/>
  <c r="M91" i="2"/>
  <c r="N91" i="2"/>
  <c r="S91" i="2"/>
  <c r="A92" i="2"/>
  <c r="U92" i="2" s="1"/>
  <c r="B92" i="2"/>
  <c r="C92" i="2"/>
  <c r="D92" i="2"/>
  <c r="E92" i="2"/>
  <c r="F92" i="2"/>
  <c r="G92" i="2"/>
  <c r="H92" i="2"/>
  <c r="I92" i="2"/>
  <c r="L92" i="2"/>
  <c r="M92" i="2"/>
  <c r="N92" i="2"/>
  <c r="S92" i="2"/>
  <c r="A93" i="2"/>
  <c r="T93" i="2" s="1"/>
  <c r="B93" i="2"/>
  <c r="C93" i="2"/>
  <c r="D93" i="2"/>
  <c r="E93" i="2"/>
  <c r="F93" i="2"/>
  <c r="G93" i="2"/>
  <c r="H93" i="2"/>
  <c r="I93" i="2"/>
  <c r="L93" i="2"/>
  <c r="M93" i="2"/>
  <c r="N93" i="2"/>
  <c r="S93" i="2"/>
  <c r="A94" i="2"/>
  <c r="U94" i="2" s="1"/>
  <c r="B94" i="2"/>
  <c r="C94" i="2"/>
  <c r="D94" i="2"/>
  <c r="E94" i="2"/>
  <c r="F94" i="2"/>
  <c r="G94" i="2"/>
  <c r="H94" i="2"/>
  <c r="I94" i="2"/>
  <c r="L94" i="2"/>
  <c r="M94" i="2"/>
  <c r="N94" i="2"/>
  <c r="A95" i="2"/>
  <c r="T95" i="2" s="1"/>
  <c r="B95" i="2"/>
  <c r="C95" i="2"/>
  <c r="D95" i="2"/>
  <c r="E95" i="2"/>
  <c r="F95" i="2"/>
  <c r="G95" i="2"/>
  <c r="H95" i="2"/>
  <c r="I95" i="2"/>
  <c r="L95" i="2"/>
  <c r="M95" i="2"/>
  <c r="N95" i="2"/>
  <c r="S95" i="2"/>
  <c r="A96" i="2"/>
  <c r="T96" i="2" s="1"/>
  <c r="B96" i="2"/>
  <c r="C96" i="2"/>
  <c r="D96" i="2"/>
  <c r="E96" i="2"/>
  <c r="F96" i="2"/>
  <c r="G96" i="2"/>
  <c r="H96" i="2"/>
  <c r="I96" i="2"/>
  <c r="L96" i="2"/>
  <c r="M96" i="2"/>
  <c r="N96" i="2"/>
  <c r="S96" i="2"/>
  <c r="A97" i="2"/>
  <c r="B97" i="2"/>
  <c r="C97" i="2"/>
  <c r="D97" i="2"/>
  <c r="E97" i="2"/>
  <c r="F97" i="2"/>
  <c r="G97" i="2"/>
  <c r="H97" i="2"/>
  <c r="I97" i="2"/>
  <c r="L97" i="2"/>
  <c r="M97" i="2"/>
  <c r="N97" i="2"/>
  <c r="A98" i="2"/>
  <c r="U98" i="2" s="1"/>
  <c r="B98" i="2"/>
  <c r="C98" i="2"/>
  <c r="D98" i="2"/>
  <c r="E98" i="2"/>
  <c r="F98" i="2"/>
  <c r="G98" i="2"/>
  <c r="H98" i="2"/>
  <c r="I98" i="2"/>
  <c r="L98" i="2"/>
  <c r="M98" i="2"/>
  <c r="N98" i="2"/>
  <c r="A99" i="2"/>
  <c r="T99" i="2" s="1"/>
  <c r="B99" i="2"/>
  <c r="C99" i="2"/>
  <c r="D99" i="2"/>
  <c r="E99" i="2"/>
  <c r="F99" i="2"/>
  <c r="G99" i="2"/>
  <c r="H99" i="2"/>
  <c r="I99" i="2"/>
  <c r="L99" i="2"/>
  <c r="M99" i="2"/>
  <c r="N99" i="2"/>
  <c r="S99" i="2"/>
  <c r="A100" i="2"/>
  <c r="T100" i="2" s="1"/>
  <c r="B100" i="2"/>
  <c r="C100" i="2"/>
  <c r="D100" i="2"/>
  <c r="E100" i="2"/>
  <c r="F100" i="2"/>
  <c r="G100" i="2"/>
  <c r="H100" i="2"/>
  <c r="I100" i="2"/>
  <c r="L100" i="2"/>
  <c r="M100" i="2"/>
  <c r="N100" i="2"/>
  <c r="U100" i="2"/>
  <c r="A101" i="2"/>
  <c r="B101" i="2"/>
  <c r="C101" i="2"/>
  <c r="D101" i="2"/>
  <c r="E101" i="2"/>
  <c r="F101" i="2"/>
  <c r="G101" i="2"/>
  <c r="H101" i="2"/>
  <c r="I101" i="2"/>
  <c r="L101" i="2"/>
  <c r="M101" i="2"/>
  <c r="N101" i="2"/>
  <c r="A102" i="2"/>
  <c r="B102" i="2"/>
  <c r="C102" i="2"/>
  <c r="D102" i="2"/>
  <c r="E102" i="2"/>
  <c r="F102" i="2"/>
  <c r="G102" i="2"/>
  <c r="H102" i="2"/>
  <c r="I102" i="2"/>
  <c r="L102" i="2"/>
  <c r="M102" i="2"/>
  <c r="N102" i="2"/>
  <c r="U102" i="2"/>
  <c r="A103" i="2"/>
  <c r="B103" i="2"/>
  <c r="C103" i="2"/>
  <c r="D103" i="2"/>
  <c r="E103" i="2"/>
  <c r="F103" i="2"/>
  <c r="G103" i="2"/>
  <c r="H103" i="2"/>
  <c r="I103" i="2"/>
  <c r="L103" i="2"/>
  <c r="M103" i="2"/>
  <c r="N103" i="2"/>
  <c r="A104" i="2"/>
  <c r="T104" i="2" s="1"/>
  <c r="B104" i="2"/>
  <c r="C104" i="2"/>
  <c r="D104" i="2"/>
  <c r="E104" i="2"/>
  <c r="F104" i="2"/>
  <c r="G104" i="2"/>
  <c r="H104" i="2"/>
  <c r="I104" i="2"/>
  <c r="L104" i="2"/>
  <c r="M104" i="2"/>
  <c r="N104" i="2"/>
  <c r="S104" i="2"/>
  <c r="A105" i="2"/>
  <c r="B105" i="2"/>
  <c r="C105" i="2"/>
  <c r="D105" i="2"/>
  <c r="E105" i="2"/>
  <c r="F105" i="2"/>
  <c r="G105" i="2"/>
  <c r="H105" i="2"/>
  <c r="I105" i="2"/>
  <c r="L105" i="2"/>
  <c r="M105" i="2"/>
  <c r="N105" i="2"/>
  <c r="A106" i="2"/>
  <c r="S106" i="2" s="1"/>
  <c r="B106" i="2"/>
  <c r="C106" i="2"/>
  <c r="D106" i="2"/>
  <c r="E106" i="2"/>
  <c r="F106" i="2"/>
  <c r="G106" i="2"/>
  <c r="H106" i="2"/>
  <c r="I106" i="2"/>
  <c r="L106" i="2"/>
  <c r="M106" i="2"/>
  <c r="N106" i="2"/>
  <c r="U106" i="2"/>
  <c r="A107" i="2"/>
  <c r="B107" i="2"/>
  <c r="C107" i="2"/>
  <c r="D107" i="2"/>
  <c r="E107" i="2"/>
  <c r="F107" i="2"/>
  <c r="G107" i="2"/>
  <c r="H107" i="2"/>
  <c r="I107" i="2"/>
  <c r="L107" i="2"/>
  <c r="M107" i="2"/>
  <c r="N107" i="2"/>
  <c r="A108" i="2"/>
  <c r="B108" i="2"/>
  <c r="C108" i="2"/>
  <c r="D108" i="2"/>
  <c r="E108" i="2"/>
  <c r="F108" i="2"/>
  <c r="G108" i="2"/>
  <c r="H108" i="2"/>
  <c r="I108" i="2"/>
  <c r="L108" i="2"/>
  <c r="M108" i="2"/>
  <c r="N108" i="2"/>
  <c r="A109" i="2"/>
  <c r="U109" i="2" s="1"/>
  <c r="B109" i="2"/>
  <c r="C109" i="2"/>
  <c r="D109" i="2"/>
  <c r="E109" i="2"/>
  <c r="F109" i="2"/>
  <c r="G109" i="2"/>
  <c r="H109" i="2"/>
  <c r="I109" i="2"/>
  <c r="L109" i="2"/>
  <c r="M109" i="2"/>
  <c r="N109" i="2"/>
  <c r="T109" i="2"/>
  <c r="A110" i="2"/>
  <c r="B110" i="2"/>
  <c r="C110" i="2"/>
  <c r="D110" i="2"/>
  <c r="E110" i="2"/>
  <c r="F110" i="2"/>
  <c r="G110" i="2"/>
  <c r="H110" i="2"/>
  <c r="I110" i="2"/>
  <c r="L110" i="2"/>
  <c r="M110" i="2"/>
  <c r="N110" i="2"/>
  <c r="A111" i="2"/>
  <c r="B111" i="2"/>
  <c r="C111" i="2"/>
  <c r="D111" i="2"/>
  <c r="E111" i="2"/>
  <c r="F111" i="2"/>
  <c r="G111" i="2"/>
  <c r="H111" i="2"/>
  <c r="I111" i="2"/>
  <c r="L111" i="2"/>
  <c r="M111" i="2"/>
  <c r="N111" i="2"/>
  <c r="A112" i="2"/>
  <c r="T112" i="2" s="1"/>
  <c r="B112" i="2"/>
  <c r="C112" i="2"/>
  <c r="D112" i="2"/>
  <c r="E112" i="2"/>
  <c r="F112" i="2"/>
  <c r="G112" i="2"/>
  <c r="H112" i="2"/>
  <c r="I112" i="2"/>
  <c r="L112" i="2"/>
  <c r="M112" i="2"/>
  <c r="N112" i="2"/>
  <c r="S112" i="2"/>
  <c r="A113" i="2"/>
  <c r="B113" i="2"/>
  <c r="C113" i="2"/>
  <c r="D113" i="2"/>
  <c r="E113" i="2"/>
  <c r="F113" i="2"/>
  <c r="G113" i="2"/>
  <c r="H113" i="2"/>
  <c r="I113" i="2"/>
  <c r="L113" i="2"/>
  <c r="M113" i="2"/>
  <c r="N113" i="2"/>
  <c r="A114" i="2"/>
  <c r="S114" i="2" s="1"/>
  <c r="B114" i="2"/>
  <c r="C114" i="2"/>
  <c r="D114" i="2"/>
  <c r="E114" i="2"/>
  <c r="F114" i="2"/>
  <c r="G114" i="2"/>
  <c r="H114" i="2"/>
  <c r="I114" i="2"/>
  <c r="L114" i="2"/>
  <c r="M114" i="2"/>
  <c r="N114" i="2"/>
  <c r="U114" i="2"/>
  <c r="A115" i="2"/>
  <c r="T115" i="2" s="1"/>
  <c r="B115" i="2"/>
  <c r="C115" i="2"/>
  <c r="D115" i="2"/>
  <c r="E115" i="2"/>
  <c r="F115" i="2"/>
  <c r="G115" i="2"/>
  <c r="H115" i="2"/>
  <c r="I115" i="2"/>
  <c r="L115" i="2"/>
  <c r="M115" i="2"/>
  <c r="N115" i="2"/>
  <c r="U115" i="2"/>
  <c r="A116" i="2"/>
  <c r="B116" i="2"/>
  <c r="C116" i="2"/>
  <c r="D116" i="2"/>
  <c r="E116" i="2"/>
  <c r="F116" i="2"/>
  <c r="G116" i="2"/>
  <c r="H116" i="2"/>
  <c r="I116" i="2"/>
  <c r="L116" i="2"/>
  <c r="M116" i="2"/>
  <c r="N116" i="2"/>
  <c r="A117" i="2"/>
  <c r="B117" i="2"/>
  <c r="C117" i="2"/>
  <c r="D117" i="2"/>
  <c r="E117" i="2"/>
  <c r="F117" i="2"/>
  <c r="G117" i="2"/>
  <c r="H117" i="2"/>
  <c r="I117" i="2"/>
  <c r="L117" i="2"/>
  <c r="M117" i="2"/>
  <c r="N117" i="2"/>
  <c r="A118" i="2"/>
  <c r="S118" i="2" s="1"/>
  <c r="B118" i="2"/>
  <c r="C118" i="2"/>
  <c r="D118" i="2"/>
  <c r="E118" i="2"/>
  <c r="F118" i="2"/>
  <c r="G118" i="2"/>
  <c r="H118" i="2"/>
  <c r="I118" i="2"/>
  <c r="L118" i="2"/>
  <c r="M118" i="2"/>
  <c r="N118" i="2"/>
  <c r="T118" i="2"/>
  <c r="A119" i="2"/>
  <c r="B119" i="2"/>
  <c r="C119" i="2"/>
  <c r="D119" i="2"/>
  <c r="E119" i="2"/>
  <c r="F119" i="2"/>
  <c r="G119" i="2"/>
  <c r="H119" i="2"/>
  <c r="I119" i="2"/>
  <c r="L119" i="2"/>
  <c r="M119" i="2"/>
  <c r="N119" i="2"/>
  <c r="A120" i="2"/>
  <c r="U120" i="2" s="1"/>
  <c r="B120" i="2"/>
  <c r="C120" i="2"/>
  <c r="D120" i="2"/>
  <c r="E120" i="2"/>
  <c r="F120" i="2"/>
  <c r="G120" i="2"/>
  <c r="H120" i="2"/>
  <c r="I120" i="2"/>
  <c r="L120" i="2"/>
  <c r="M120" i="2"/>
  <c r="N120" i="2"/>
  <c r="S120" i="2"/>
  <c r="A121" i="2"/>
  <c r="B121" i="2"/>
  <c r="C121" i="2"/>
  <c r="D121" i="2"/>
  <c r="E121" i="2"/>
  <c r="F121" i="2"/>
  <c r="G121" i="2"/>
  <c r="H121" i="2"/>
  <c r="I121" i="2"/>
  <c r="L121" i="2"/>
  <c r="M121" i="2"/>
  <c r="N121" i="2"/>
  <c r="A122" i="2"/>
  <c r="B122" i="2"/>
  <c r="C122" i="2"/>
  <c r="D122" i="2"/>
  <c r="E122" i="2"/>
  <c r="F122" i="2"/>
  <c r="G122" i="2"/>
  <c r="H122" i="2"/>
  <c r="I122" i="2"/>
  <c r="L122" i="2"/>
  <c r="M122" i="2"/>
  <c r="N122" i="2"/>
  <c r="A123" i="2"/>
  <c r="T123" i="2" s="1"/>
  <c r="B123" i="2"/>
  <c r="C123" i="2"/>
  <c r="D123" i="2"/>
  <c r="E123" i="2"/>
  <c r="F123" i="2"/>
  <c r="G123" i="2"/>
  <c r="H123" i="2"/>
  <c r="I123" i="2"/>
  <c r="L123" i="2"/>
  <c r="M123" i="2"/>
  <c r="N123" i="2"/>
  <c r="S123" i="2"/>
  <c r="A124" i="2"/>
  <c r="B124" i="2"/>
  <c r="C124" i="2"/>
  <c r="D124" i="2"/>
  <c r="E124" i="2"/>
  <c r="F124" i="2"/>
  <c r="G124" i="2"/>
  <c r="H124" i="2"/>
  <c r="I124" i="2"/>
  <c r="L124" i="2"/>
  <c r="M124" i="2"/>
  <c r="N124" i="2"/>
  <c r="U124" i="2"/>
  <c r="A125" i="2"/>
  <c r="B125" i="2"/>
  <c r="C125" i="2"/>
  <c r="D125" i="2"/>
  <c r="E125" i="2"/>
  <c r="F125" i="2"/>
  <c r="G125" i="2"/>
  <c r="H125" i="2"/>
  <c r="I125" i="2"/>
  <c r="L125" i="2"/>
  <c r="M125" i="2"/>
  <c r="N125" i="2"/>
  <c r="T125" i="2"/>
  <c r="A126" i="2"/>
  <c r="S126" i="2" s="1"/>
  <c r="B126" i="2"/>
  <c r="C126" i="2"/>
  <c r="D126" i="2"/>
  <c r="E126" i="2"/>
  <c r="F126" i="2"/>
  <c r="G126" i="2"/>
  <c r="H126" i="2"/>
  <c r="I126" i="2"/>
  <c r="L126" i="2"/>
  <c r="M126" i="2"/>
  <c r="N126" i="2"/>
  <c r="T126" i="2"/>
  <c r="A127" i="2"/>
  <c r="B127" i="2"/>
  <c r="C127" i="2"/>
  <c r="D127" i="2"/>
  <c r="E127" i="2"/>
  <c r="F127" i="2"/>
  <c r="G127" i="2"/>
  <c r="H127" i="2"/>
  <c r="I127" i="2"/>
  <c r="L127" i="2"/>
  <c r="M127" i="2"/>
  <c r="N127" i="2"/>
  <c r="A128" i="2"/>
  <c r="B128" i="2"/>
  <c r="C128" i="2"/>
  <c r="D128" i="2"/>
  <c r="E128" i="2"/>
  <c r="F128" i="2"/>
  <c r="G128" i="2"/>
  <c r="H128" i="2"/>
  <c r="I128" i="2"/>
  <c r="L128" i="2"/>
  <c r="M128" i="2"/>
  <c r="N128" i="2"/>
  <c r="U128" i="2"/>
  <c r="A129" i="2"/>
  <c r="B129" i="2"/>
  <c r="C129" i="2"/>
  <c r="D129" i="2"/>
  <c r="E129" i="2"/>
  <c r="F129" i="2"/>
  <c r="G129" i="2"/>
  <c r="H129" i="2"/>
  <c r="I129" i="2"/>
  <c r="L129" i="2"/>
  <c r="M129" i="2"/>
  <c r="N129" i="2"/>
  <c r="A130" i="2"/>
  <c r="S130" i="2" s="1"/>
  <c r="B130" i="2"/>
  <c r="C130" i="2"/>
  <c r="D130" i="2"/>
  <c r="E130" i="2"/>
  <c r="F130" i="2"/>
  <c r="G130" i="2"/>
  <c r="H130" i="2"/>
  <c r="I130" i="2"/>
  <c r="L130" i="2"/>
  <c r="M130" i="2"/>
  <c r="N130" i="2"/>
  <c r="U130" i="2"/>
  <c r="A131" i="2"/>
  <c r="T131" i="2" s="1"/>
  <c r="B131" i="2"/>
  <c r="C131" i="2"/>
  <c r="D131" i="2"/>
  <c r="E131" i="2"/>
  <c r="F131" i="2"/>
  <c r="G131" i="2"/>
  <c r="H131" i="2"/>
  <c r="I131" i="2"/>
  <c r="L131" i="2"/>
  <c r="M131" i="2"/>
  <c r="N131" i="2"/>
  <c r="S131" i="2"/>
  <c r="A132" i="2"/>
  <c r="B132" i="2"/>
  <c r="C132" i="2"/>
  <c r="D132" i="2"/>
  <c r="E132" i="2"/>
  <c r="F132" i="2"/>
  <c r="G132" i="2"/>
  <c r="H132" i="2"/>
  <c r="I132" i="2"/>
  <c r="L132" i="2"/>
  <c r="M132" i="2"/>
  <c r="N132" i="2"/>
  <c r="A133" i="2"/>
  <c r="T133" i="2" s="1"/>
  <c r="B133" i="2"/>
  <c r="C133" i="2"/>
  <c r="D133" i="2"/>
  <c r="E133" i="2"/>
  <c r="F133" i="2"/>
  <c r="G133" i="2"/>
  <c r="H133" i="2"/>
  <c r="I133" i="2"/>
  <c r="L133" i="2"/>
  <c r="M133" i="2"/>
  <c r="N133" i="2"/>
  <c r="S133" i="2"/>
  <c r="A134" i="2"/>
  <c r="S134" i="2" s="1"/>
  <c r="B134" i="2"/>
  <c r="C134" i="2"/>
  <c r="D134" i="2"/>
  <c r="E134" i="2"/>
  <c r="F134" i="2"/>
  <c r="G134" i="2"/>
  <c r="H134" i="2"/>
  <c r="I134" i="2"/>
  <c r="L134" i="2"/>
  <c r="M134" i="2"/>
  <c r="N134" i="2"/>
  <c r="T134" i="2"/>
  <c r="A135" i="2"/>
  <c r="B135" i="2"/>
  <c r="C135" i="2"/>
  <c r="D135" i="2"/>
  <c r="E135" i="2"/>
  <c r="F135" i="2"/>
  <c r="G135" i="2"/>
  <c r="H135" i="2"/>
  <c r="I135" i="2"/>
  <c r="L135" i="2"/>
  <c r="M135" i="2"/>
  <c r="N135" i="2"/>
  <c r="A136" i="2"/>
  <c r="B136" i="2"/>
  <c r="C136" i="2"/>
  <c r="D136" i="2"/>
  <c r="E136" i="2"/>
  <c r="F136" i="2"/>
  <c r="G136" i="2"/>
  <c r="H136" i="2"/>
  <c r="I136" i="2"/>
  <c r="L136" i="2"/>
  <c r="M136" i="2"/>
  <c r="N136" i="2"/>
  <c r="U136" i="2"/>
  <c r="A137" i="2"/>
  <c r="B137" i="2"/>
  <c r="C137" i="2"/>
  <c r="D137" i="2"/>
  <c r="E137" i="2"/>
  <c r="F137" i="2"/>
  <c r="G137" i="2"/>
  <c r="H137" i="2"/>
  <c r="I137" i="2"/>
  <c r="L137" i="2"/>
  <c r="M137" i="2"/>
  <c r="N137" i="2"/>
  <c r="A138" i="2"/>
  <c r="S138" i="2" s="1"/>
  <c r="B138" i="2"/>
  <c r="C138" i="2"/>
  <c r="D138" i="2"/>
  <c r="E138" i="2"/>
  <c r="F138" i="2"/>
  <c r="G138" i="2"/>
  <c r="H138" i="2"/>
  <c r="I138" i="2"/>
  <c r="L138" i="2"/>
  <c r="M138" i="2"/>
  <c r="N138" i="2"/>
  <c r="U138" i="2"/>
  <c r="A139" i="2"/>
  <c r="B139" i="2"/>
  <c r="C139" i="2"/>
  <c r="D139" i="2"/>
  <c r="E139" i="2"/>
  <c r="F139" i="2"/>
  <c r="G139" i="2"/>
  <c r="H139" i="2"/>
  <c r="I139" i="2"/>
  <c r="L139" i="2"/>
  <c r="M139" i="2"/>
  <c r="N139" i="2"/>
  <c r="A140" i="2"/>
  <c r="B140" i="2"/>
  <c r="C140" i="2"/>
  <c r="D140" i="2"/>
  <c r="E140" i="2"/>
  <c r="F140" i="2"/>
  <c r="G140" i="2"/>
  <c r="H140" i="2"/>
  <c r="I140" i="2"/>
  <c r="L140" i="2"/>
  <c r="M140" i="2"/>
  <c r="N140" i="2"/>
  <c r="S140" i="2"/>
  <c r="A141" i="2"/>
  <c r="U141" i="2" s="1"/>
  <c r="B141" i="2"/>
  <c r="C141" i="2"/>
  <c r="D141" i="2"/>
  <c r="E141" i="2"/>
  <c r="F141" i="2"/>
  <c r="G141" i="2"/>
  <c r="H141" i="2"/>
  <c r="I141" i="2"/>
  <c r="L141" i="2"/>
  <c r="M141" i="2"/>
  <c r="N141" i="2"/>
  <c r="S141" i="2"/>
  <c r="A142" i="2"/>
  <c r="S142" i="2" s="1"/>
  <c r="B142" i="2"/>
  <c r="C142" i="2"/>
  <c r="D142" i="2"/>
  <c r="E142" i="2"/>
  <c r="F142" i="2"/>
  <c r="G142" i="2"/>
  <c r="H142" i="2"/>
  <c r="I142" i="2"/>
  <c r="L142" i="2"/>
  <c r="M142" i="2"/>
  <c r="N142" i="2"/>
  <c r="T142" i="2"/>
  <c r="A143" i="2"/>
  <c r="B143" i="2"/>
  <c r="C143" i="2"/>
  <c r="D143" i="2"/>
  <c r="E143" i="2"/>
  <c r="F143" i="2"/>
  <c r="G143" i="2"/>
  <c r="H143" i="2"/>
  <c r="I143" i="2"/>
  <c r="L143" i="2"/>
  <c r="M143" i="2"/>
  <c r="N143" i="2"/>
  <c r="A144" i="2"/>
  <c r="B144" i="2"/>
  <c r="C144" i="2"/>
  <c r="D144" i="2"/>
  <c r="E144" i="2"/>
  <c r="F144" i="2"/>
  <c r="G144" i="2"/>
  <c r="H144" i="2"/>
  <c r="I144" i="2"/>
  <c r="L144" i="2"/>
  <c r="M144" i="2"/>
  <c r="N144" i="2"/>
  <c r="U144" i="2"/>
  <c r="A145" i="2"/>
  <c r="B145" i="2"/>
  <c r="C145" i="2"/>
  <c r="D145" i="2"/>
  <c r="E145" i="2"/>
  <c r="F145" i="2"/>
  <c r="G145" i="2"/>
  <c r="H145" i="2"/>
  <c r="I145" i="2"/>
  <c r="L145" i="2"/>
  <c r="M145" i="2"/>
  <c r="N145" i="2"/>
  <c r="A146" i="2"/>
  <c r="S146" i="2" s="1"/>
  <c r="B146" i="2"/>
  <c r="C146" i="2"/>
  <c r="D146" i="2"/>
  <c r="E146" i="2"/>
  <c r="F146" i="2"/>
  <c r="G146" i="2"/>
  <c r="H146" i="2"/>
  <c r="I146" i="2"/>
  <c r="L146" i="2"/>
  <c r="M146" i="2"/>
  <c r="N146" i="2"/>
  <c r="T146" i="2"/>
  <c r="A147" i="2"/>
  <c r="T147" i="2" s="1"/>
  <c r="B147" i="2"/>
  <c r="C147" i="2"/>
  <c r="D147" i="2"/>
  <c r="E147" i="2"/>
  <c r="F147" i="2"/>
  <c r="G147" i="2"/>
  <c r="H147" i="2"/>
  <c r="I147" i="2"/>
  <c r="L147" i="2"/>
  <c r="M147" i="2"/>
  <c r="N147" i="2"/>
  <c r="S147" i="2"/>
  <c r="A148" i="2"/>
  <c r="B148" i="2"/>
  <c r="C148" i="2"/>
  <c r="D148" i="2"/>
  <c r="E148" i="2"/>
  <c r="F148" i="2"/>
  <c r="G148" i="2"/>
  <c r="H148" i="2"/>
  <c r="I148" i="2"/>
  <c r="L148" i="2"/>
  <c r="M148" i="2"/>
  <c r="N148" i="2"/>
  <c r="A149" i="2"/>
  <c r="U149" i="2" s="1"/>
  <c r="B149" i="2"/>
  <c r="C149" i="2"/>
  <c r="D149" i="2"/>
  <c r="E149" i="2"/>
  <c r="F149" i="2"/>
  <c r="G149" i="2"/>
  <c r="H149" i="2"/>
  <c r="I149" i="2"/>
  <c r="L149" i="2"/>
  <c r="M149" i="2"/>
  <c r="N149" i="2"/>
  <c r="S149" i="2"/>
  <c r="A150" i="2"/>
  <c r="S150" i="2" s="1"/>
  <c r="B150" i="2"/>
  <c r="C150" i="2"/>
  <c r="D150" i="2"/>
  <c r="E150" i="2"/>
  <c r="F150" i="2"/>
  <c r="G150" i="2"/>
  <c r="H150" i="2"/>
  <c r="I150" i="2"/>
  <c r="L150" i="2"/>
  <c r="M150" i="2"/>
  <c r="N150" i="2"/>
  <c r="T150" i="2"/>
  <c r="A151" i="2"/>
  <c r="B151" i="2"/>
  <c r="C151" i="2"/>
  <c r="D151" i="2"/>
  <c r="E151" i="2"/>
  <c r="F151" i="2"/>
  <c r="G151" i="2"/>
  <c r="H151" i="2"/>
  <c r="I151" i="2"/>
  <c r="L151" i="2"/>
  <c r="M151" i="2"/>
  <c r="N151" i="2"/>
  <c r="A152" i="2"/>
  <c r="U152" i="2" s="1"/>
  <c r="B152" i="2"/>
  <c r="C152" i="2"/>
  <c r="D152" i="2"/>
  <c r="E152" i="2"/>
  <c r="F152" i="2"/>
  <c r="G152" i="2"/>
  <c r="H152" i="2"/>
  <c r="I152" i="2"/>
  <c r="L152" i="2"/>
  <c r="M152" i="2"/>
  <c r="N152" i="2"/>
  <c r="S152" i="2"/>
  <c r="A153" i="2"/>
  <c r="B153" i="2"/>
  <c r="C153" i="2"/>
  <c r="D153" i="2"/>
  <c r="E153" i="2"/>
  <c r="F153" i="2"/>
  <c r="G153" i="2"/>
  <c r="H153" i="2"/>
  <c r="I153" i="2"/>
  <c r="L153" i="2"/>
  <c r="M153" i="2"/>
  <c r="N153" i="2"/>
  <c r="A154" i="2"/>
  <c r="S154" i="2" s="1"/>
  <c r="B154" i="2"/>
  <c r="C154" i="2"/>
  <c r="D154" i="2"/>
  <c r="E154" i="2"/>
  <c r="F154" i="2"/>
  <c r="G154" i="2"/>
  <c r="H154" i="2"/>
  <c r="I154" i="2"/>
  <c r="L154" i="2"/>
  <c r="M154" i="2"/>
  <c r="N154" i="2"/>
  <c r="T154" i="2"/>
  <c r="A155" i="2"/>
  <c r="T155" i="2" s="1"/>
  <c r="B155" i="2"/>
  <c r="C155" i="2"/>
  <c r="D155" i="2"/>
  <c r="E155" i="2"/>
  <c r="F155" i="2"/>
  <c r="G155" i="2"/>
  <c r="H155" i="2"/>
  <c r="I155" i="2"/>
  <c r="L155" i="2"/>
  <c r="M155" i="2"/>
  <c r="N155" i="2"/>
  <c r="S155" i="2"/>
  <c r="A156" i="2"/>
  <c r="T156" i="2" s="1"/>
  <c r="B156" i="2"/>
  <c r="C156" i="2"/>
  <c r="D156" i="2"/>
  <c r="E156" i="2"/>
  <c r="F156" i="2"/>
  <c r="G156" i="2"/>
  <c r="H156" i="2"/>
  <c r="I156" i="2"/>
  <c r="L156" i="2"/>
  <c r="M156" i="2"/>
  <c r="N156" i="2"/>
  <c r="A157" i="2"/>
  <c r="B157" i="2"/>
  <c r="C157" i="2"/>
  <c r="D157" i="2"/>
  <c r="E157" i="2"/>
  <c r="F157" i="2"/>
  <c r="G157" i="2"/>
  <c r="H157" i="2"/>
  <c r="I157" i="2"/>
  <c r="L157" i="2"/>
  <c r="M157" i="2"/>
  <c r="N157" i="2"/>
  <c r="A158" i="2"/>
  <c r="S158" i="2" s="1"/>
  <c r="B158" i="2"/>
  <c r="C158" i="2"/>
  <c r="D158" i="2"/>
  <c r="E158" i="2"/>
  <c r="F158" i="2"/>
  <c r="G158" i="2"/>
  <c r="H158" i="2"/>
  <c r="I158" i="2"/>
  <c r="L158" i="2"/>
  <c r="M158" i="2"/>
  <c r="N158" i="2"/>
  <c r="A159" i="2"/>
  <c r="B159" i="2"/>
  <c r="C159" i="2"/>
  <c r="D159" i="2"/>
  <c r="E159" i="2"/>
  <c r="F159" i="2"/>
  <c r="G159" i="2"/>
  <c r="H159" i="2"/>
  <c r="I159" i="2"/>
  <c r="L159" i="2"/>
  <c r="M159" i="2"/>
  <c r="N159" i="2"/>
  <c r="A160" i="2"/>
  <c r="U160" i="2" s="1"/>
  <c r="B160" i="2"/>
  <c r="C160" i="2"/>
  <c r="D160" i="2"/>
  <c r="E160" i="2"/>
  <c r="F160" i="2"/>
  <c r="G160" i="2"/>
  <c r="H160" i="2"/>
  <c r="I160" i="2"/>
  <c r="L160" i="2"/>
  <c r="M160" i="2"/>
  <c r="N160" i="2"/>
  <c r="S160" i="2"/>
  <c r="A161" i="2"/>
  <c r="B161" i="2"/>
  <c r="C161" i="2"/>
  <c r="D161" i="2"/>
  <c r="E161" i="2"/>
  <c r="F161" i="2"/>
  <c r="G161" i="2"/>
  <c r="H161" i="2"/>
  <c r="I161" i="2"/>
  <c r="L161" i="2"/>
  <c r="M161" i="2"/>
  <c r="N161" i="2"/>
  <c r="A162" i="2"/>
  <c r="B162" i="2"/>
  <c r="C162" i="2"/>
  <c r="D162" i="2"/>
  <c r="E162" i="2"/>
  <c r="F162" i="2"/>
  <c r="G162" i="2"/>
  <c r="H162" i="2"/>
  <c r="I162" i="2"/>
  <c r="L162" i="2"/>
  <c r="M162" i="2"/>
  <c r="N162" i="2"/>
  <c r="A163" i="2"/>
  <c r="T163" i="2" s="1"/>
  <c r="B163" i="2"/>
  <c r="C163" i="2"/>
  <c r="D163" i="2"/>
  <c r="E163" i="2"/>
  <c r="F163" i="2"/>
  <c r="G163" i="2"/>
  <c r="H163" i="2"/>
  <c r="I163" i="2"/>
  <c r="L163" i="2"/>
  <c r="M163" i="2"/>
  <c r="N163" i="2"/>
  <c r="S163" i="2"/>
  <c r="A164" i="2"/>
  <c r="B164" i="2"/>
  <c r="C164" i="2"/>
  <c r="D164" i="2"/>
  <c r="E164" i="2"/>
  <c r="F164" i="2"/>
  <c r="G164" i="2"/>
  <c r="H164" i="2"/>
  <c r="I164" i="2"/>
  <c r="L164" i="2"/>
  <c r="M164" i="2"/>
  <c r="N164" i="2"/>
  <c r="A165" i="2"/>
  <c r="T165" i="2" s="1"/>
  <c r="B165" i="2"/>
  <c r="C165" i="2"/>
  <c r="D165" i="2"/>
  <c r="E165" i="2"/>
  <c r="F165" i="2"/>
  <c r="G165" i="2"/>
  <c r="H165" i="2"/>
  <c r="I165" i="2"/>
  <c r="L165" i="2"/>
  <c r="M165" i="2"/>
  <c r="N165" i="2"/>
  <c r="A166" i="2"/>
  <c r="S166" i="2" s="1"/>
  <c r="B166" i="2"/>
  <c r="C166" i="2"/>
  <c r="D166" i="2"/>
  <c r="E166" i="2"/>
  <c r="F166" i="2"/>
  <c r="G166" i="2"/>
  <c r="H166" i="2"/>
  <c r="I166" i="2"/>
  <c r="L166" i="2"/>
  <c r="M166" i="2"/>
  <c r="N166" i="2"/>
  <c r="A167" i="2"/>
  <c r="U167" i="2" s="1"/>
  <c r="B167" i="2"/>
  <c r="C167" i="2"/>
  <c r="D167" i="2"/>
  <c r="E167" i="2"/>
  <c r="F167" i="2"/>
  <c r="G167" i="2"/>
  <c r="H167" i="2"/>
  <c r="I167" i="2"/>
  <c r="L167" i="2"/>
  <c r="M167" i="2"/>
  <c r="N167" i="2"/>
  <c r="A168" i="2"/>
  <c r="U168" i="2" s="1"/>
  <c r="B168" i="2"/>
  <c r="C168" i="2"/>
  <c r="D168" i="2"/>
  <c r="E168" i="2"/>
  <c r="F168" i="2"/>
  <c r="G168" i="2"/>
  <c r="H168" i="2"/>
  <c r="I168" i="2"/>
  <c r="L168" i="2"/>
  <c r="M168" i="2"/>
  <c r="N168" i="2"/>
  <c r="S168" i="2"/>
  <c r="A169" i="2"/>
  <c r="B169" i="2"/>
  <c r="C169" i="2"/>
  <c r="D169" i="2"/>
  <c r="E169" i="2"/>
  <c r="F169" i="2"/>
  <c r="G169" i="2"/>
  <c r="H169" i="2"/>
  <c r="I169" i="2"/>
  <c r="L169" i="2"/>
  <c r="M169" i="2"/>
  <c r="N169" i="2"/>
  <c r="A170" i="2"/>
  <c r="S170" i="2" s="1"/>
  <c r="B170" i="2"/>
  <c r="C170" i="2"/>
  <c r="D170" i="2"/>
  <c r="E170" i="2"/>
  <c r="F170" i="2"/>
  <c r="G170" i="2"/>
  <c r="H170" i="2"/>
  <c r="I170" i="2"/>
  <c r="L170" i="2"/>
  <c r="M170" i="2"/>
  <c r="N170" i="2"/>
  <c r="T170" i="2"/>
  <c r="A171" i="2"/>
  <c r="B171" i="2"/>
  <c r="C171" i="2"/>
  <c r="D171" i="2"/>
  <c r="E171" i="2"/>
  <c r="F171" i="2"/>
  <c r="G171" i="2"/>
  <c r="H171" i="2"/>
  <c r="I171" i="2"/>
  <c r="L171" i="2"/>
  <c r="M171" i="2"/>
  <c r="N171" i="2"/>
  <c r="U171" i="2"/>
  <c r="A172" i="2"/>
  <c r="U172" i="2" s="1"/>
  <c r="B172" i="2"/>
  <c r="C172" i="2"/>
  <c r="D172" i="2"/>
  <c r="E172" i="2"/>
  <c r="F172" i="2"/>
  <c r="G172" i="2"/>
  <c r="H172" i="2"/>
  <c r="I172" i="2"/>
  <c r="L172" i="2"/>
  <c r="M172" i="2"/>
  <c r="N172" i="2"/>
  <c r="S172" i="2"/>
  <c r="A173" i="2"/>
  <c r="B173" i="2"/>
  <c r="C173" i="2"/>
  <c r="D173" i="2"/>
  <c r="E173" i="2"/>
  <c r="F173" i="2"/>
  <c r="G173" i="2"/>
  <c r="H173" i="2"/>
  <c r="I173" i="2"/>
  <c r="L173" i="2"/>
  <c r="M173" i="2"/>
  <c r="N173" i="2"/>
  <c r="A174" i="2"/>
  <c r="S174" i="2" s="1"/>
  <c r="B174" i="2"/>
  <c r="C174" i="2"/>
  <c r="D174" i="2"/>
  <c r="E174" i="2"/>
  <c r="F174" i="2"/>
  <c r="G174" i="2"/>
  <c r="H174" i="2"/>
  <c r="I174" i="2"/>
  <c r="L174" i="2"/>
  <c r="M174" i="2"/>
  <c r="N174" i="2"/>
  <c r="T174" i="2"/>
  <c r="A175" i="2"/>
  <c r="B175" i="2"/>
  <c r="C175" i="2"/>
  <c r="D175" i="2"/>
  <c r="E175" i="2"/>
  <c r="F175" i="2"/>
  <c r="G175" i="2"/>
  <c r="H175" i="2"/>
  <c r="I175" i="2"/>
  <c r="L175" i="2"/>
  <c r="M175" i="2"/>
  <c r="N175" i="2"/>
  <c r="A176" i="2"/>
  <c r="B176" i="2"/>
  <c r="C176" i="2"/>
  <c r="D176" i="2"/>
  <c r="E176" i="2"/>
  <c r="F176" i="2"/>
  <c r="G176" i="2"/>
  <c r="H176" i="2"/>
  <c r="I176" i="2"/>
  <c r="L176" i="2"/>
  <c r="M176" i="2"/>
  <c r="N176" i="2"/>
  <c r="T176" i="2"/>
  <c r="A177" i="2"/>
  <c r="T177" i="2" s="1"/>
  <c r="B177" i="2"/>
  <c r="C177" i="2"/>
  <c r="D177" i="2"/>
  <c r="E177" i="2"/>
  <c r="F177" i="2"/>
  <c r="G177" i="2"/>
  <c r="H177" i="2"/>
  <c r="I177" i="2"/>
  <c r="L177" i="2"/>
  <c r="M177" i="2"/>
  <c r="N177" i="2"/>
  <c r="S177" i="2"/>
  <c r="A178" i="2"/>
  <c r="B178" i="2"/>
  <c r="C178" i="2"/>
  <c r="D178" i="2"/>
  <c r="E178" i="2"/>
  <c r="F178" i="2"/>
  <c r="G178" i="2"/>
  <c r="H178" i="2"/>
  <c r="I178" i="2"/>
  <c r="L178" i="2"/>
  <c r="M178" i="2"/>
  <c r="N178" i="2"/>
  <c r="A179" i="2"/>
  <c r="U179" i="2" s="1"/>
  <c r="B179" i="2"/>
  <c r="C179" i="2"/>
  <c r="D179" i="2"/>
  <c r="E179" i="2"/>
  <c r="F179" i="2"/>
  <c r="G179" i="2"/>
  <c r="H179" i="2"/>
  <c r="I179" i="2"/>
  <c r="L179" i="2"/>
  <c r="M179" i="2"/>
  <c r="N179" i="2"/>
  <c r="A180" i="2"/>
  <c r="U180" i="2" s="1"/>
  <c r="B180" i="2"/>
  <c r="C180" i="2"/>
  <c r="D180" i="2"/>
  <c r="E180" i="2"/>
  <c r="F180" i="2"/>
  <c r="G180" i="2"/>
  <c r="H180" i="2"/>
  <c r="I180" i="2"/>
  <c r="L180" i="2"/>
  <c r="M180" i="2"/>
  <c r="N180" i="2"/>
  <c r="S180" i="2"/>
  <c r="A181" i="2"/>
  <c r="B181" i="2"/>
  <c r="C181" i="2"/>
  <c r="D181" i="2"/>
  <c r="E181" i="2"/>
  <c r="F181" i="2"/>
  <c r="G181" i="2"/>
  <c r="H181" i="2"/>
  <c r="I181" i="2"/>
  <c r="L181" i="2"/>
  <c r="M181" i="2"/>
  <c r="N181" i="2"/>
  <c r="S181" i="2"/>
  <c r="A182" i="2"/>
  <c r="T182" i="2" s="1"/>
  <c r="B182" i="2"/>
  <c r="C182" i="2"/>
  <c r="D182" i="2"/>
  <c r="E182" i="2"/>
  <c r="F182" i="2"/>
  <c r="G182" i="2"/>
  <c r="H182" i="2"/>
  <c r="I182" i="2"/>
  <c r="L182" i="2"/>
  <c r="M182" i="2"/>
  <c r="N182" i="2"/>
  <c r="A183" i="2"/>
  <c r="T183" i="2" s="1"/>
  <c r="B183" i="2"/>
  <c r="C183" i="2"/>
  <c r="D183" i="2"/>
  <c r="E183" i="2"/>
  <c r="F183" i="2"/>
  <c r="G183" i="2"/>
  <c r="H183" i="2"/>
  <c r="I183" i="2"/>
  <c r="L183" i="2"/>
  <c r="M183" i="2"/>
  <c r="N183" i="2"/>
  <c r="U183" i="2"/>
  <c r="A184" i="2"/>
  <c r="B184" i="2"/>
  <c r="C184" i="2"/>
  <c r="D184" i="2"/>
  <c r="E184" i="2"/>
  <c r="F184" i="2"/>
  <c r="G184" i="2"/>
  <c r="H184" i="2"/>
  <c r="I184" i="2"/>
  <c r="L184" i="2"/>
  <c r="M184" i="2"/>
  <c r="N184" i="2"/>
  <c r="A185" i="2"/>
  <c r="S185" i="2" s="1"/>
  <c r="B185" i="2"/>
  <c r="C185" i="2"/>
  <c r="D185" i="2"/>
  <c r="E185" i="2"/>
  <c r="F185" i="2"/>
  <c r="G185" i="2"/>
  <c r="H185" i="2"/>
  <c r="I185" i="2"/>
  <c r="L185" i="2"/>
  <c r="M185" i="2"/>
  <c r="N185" i="2"/>
  <c r="A186" i="2"/>
  <c r="B186" i="2"/>
  <c r="C186" i="2"/>
  <c r="D186" i="2"/>
  <c r="E186" i="2"/>
  <c r="F186" i="2"/>
  <c r="G186" i="2"/>
  <c r="H186" i="2"/>
  <c r="I186" i="2"/>
  <c r="L186" i="2"/>
  <c r="M186" i="2"/>
  <c r="N186" i="2"/>
  <c r="A187" i="2"/>
  <c r="B187" i="2"/>
  <c r="C187" i="2"/>
  <c r="D187" i="2"/>
  <c r="E187" i="2"/>
  <c r="F187" i="2"/>
  <c r="G187" i="2"/>
  <c r="H187" i="2"/>
  <c r="I187" i="2"/>
  <c r="L187" i="2"/>
  <c r="M187" i="2"/>
  <c r="N187" i="2"/>
  <c r="S187" i="2"/>
  <c r="A188" i="2"/>
  <c r="B188" i="2"/>
  <c r="C188" i="2"/>
  <c r="D188" i="2"/>
  <c r="E188" i="2"/>
  <c r="F188" i="2"/>
  <c r="G188" i="2"/>
  <c r="H188" i="2"/>
  <c r="I188" i="2"/>
  <c r="L188" i="2"/>
  <c r="M188" i="2"/>
  <c r="N188" i="2"/>
  <c r="S188" i="2"/>
  <c r="A189" i="2"/>
  <c r="T189" i="2" s="1"/>
  <c r="B189" i="2"/>
  <c r="C189" i="2"/>
  <c r="D189" i="2"/>
  <c r="E189" i="2"/>
  <c r="F189" i="2"/>
  <c r="G189" i="2"/>
  <c r="H189" i="2"/>
  <c r="I189" i="2"/>
  <c r="L189" i="2"/>
  <c r="M189" i="2"/>
  <c r="N189" i="2"/>
  <c r="S189" i="2"/>
  <c r="A190" i="2"/>
  <c r="T190" i="2" s="1"/>
  <c r="B190" i="2"/>
  <c r="C190" i="2"/>
  <c r="D190" i="2"/>
  <c r="E190" i="2"/>
  <c r="F190" i="2"/>
  <c r="G190" i="2"/>
  <c r="H190" i="2"/>
  <c r="I190" i="2"/>
  <c r="L190" i="2"/>
  <c r="M190" i="2"/>
  <c r="N190" i="2"/>
  <c r="A191" i="2"/>
  <c r="B191" i="2"/>
  <c r="C191" i="2"/>
  <c r="D191" i="2"/>
  <c r="E191" i="2"/>
  <c r="F191" i="2"/>
  <c r="G191" i="2"/>
  <c r="H191" i="2"/>
  <c r="I191" i="2"/>
  <c r="L191" i="2"/>
  <c r="M191" i="2"/>
  <c r="N191" i="2"/>
  <c r="A192" i="2"/>
  <c r="B192" i="2"/>
  <c r="C192" i="2"/>
  <c r="D192" i="2"/>
  <c r="E192" i="2"/>
  <c r="F192" i="2"/>
  <c r="G192" i="2"/>
  <c r="H192" i="2"/>
  <c r="I192" i="2"/>
  <c r="L192" i="2"/>
  <c r="M192" i="2"/>
  <c r="N192" i="2"/>
  <c r="A193" i="2"/>
  <c r="B193" i="2"/>
  <c r="C193" i="2"/>
  <c r="D193" i="2"/>
  <c r="E193" i="2"/>
  <c r="F193" i="2"/>
  <c r="G193" i="2"/>
  <c r="H193" i="2"/>
  <c r="I193" i="2"/>
  <c r="L193" i="2"/>
  <c r="M193" i="2"/>
  <c r="N193" i="2"/>
  <c r="S193" i="2"/>
  <c r="A194" i="2"/>
  <c r="B194" i="2"/>
  <c r="C194" i="2"/>
  <c r="D194" i="2"/>
  <c r="E194" i="2"/>
  <c r="F194" i="2"/>
  <c r="G194" i="2"/>
  <c r="H194" i="2"/>
  <c r="I194" i="2"/>
  <c r="L194" i="2"/>
  <c r="M194" i="2"/>
  <c r="N194" i="2"/>
  <c r="A195" i="2"/>
  <c r="B195" i="2"/>
  <c r="C195" i="2"/>
  <c r="D195" i="2"/>
  <c r="E195" i="2"/>
  <c r="F195" i="2"/>
  <c r="G195" i="2"/>
  <c r="H195" i="2"/>
  <c r="I195" i="2"/>
  <c r="L195" i="2"/>
  <c r="M195" i="2"/>
  <c r="N195" i="2"/>
  <c r="A196" i="2"/>
  <c r="U196" i="2" s="1"/>
  <c r="B196" i="2"/>
  <c r="C196" i="2"/>
  <c r="D196" i="2"/>
  <c r="E196" i="2"/>
  <c r="F196" i="2"/>
  <c r="G196" i="2"/>
  <c r="H196" i="2"/>
  <c r="I196" i="2"/>
  <c r="L196" i="2"/>
  <c r="M196" i="2"/>
  <c r="N196" i="2"/>
  <c r="S196" i="2"/>
  <c r="A197" i="2"/>
  <c r="T197" i="2" s="1"/>
  <c r="B197" i="2"/>
  <c r="C197" i="2"/>
  <c r="D197" i="2"/>
  <c r="E197" i="2"/>
  <c r="F197" i="2"/>
  <c r="G197" i="2"/>
  <c r="H197" i="2"/>
  <c r="I197" i="2"/>
  <c r="L197" i="2"/>
  <c r="M197" i="2"/>
  <c r="N197" i="2"/>
  <c r="S197" i="2"/>
  <c r="A198" i="2"/>
  <c r="B198" i="2"/>
  <c r="C198" i="2"/>
  <c r="D198" i="2"/>
  <c r="E198" i="2"/>
  <c r="F198" i="2"/>
  <c r="G198" i="2"/>
  <c r="H198" i="2"/>
  <c r="I198" i="2"/>
  <c r="L198" i="2"/>
  <c r="M198" i="2"/>
  <c r="N198" i="2"/>
  <c r="A199" i="2"/>
  <c r="B199" i="2"/>
  <c r="C199" i="2"/>
  <c r="D199" i="2"/>
  <c r="E199" i="2"/>
  <c r="F199" i="2"/>
  <c r="G199" i="2"/>
  <c r="H199" i="2"/>
  <c r="I199" i="2"/>
  <c r="L199" i="2"/>
  <c r="M199" i="2"/>
  <c r="N199" i="2"/>
  <c r="A200" i="2"/>
  <c r="U200" i="2" s="1"/>
  <c r="B200" i="2"/>
  <c r="C200" i="2"/>
  <c r="D200" i="2"/>
  <c r="E200" i="2"/>
  <c r="F200" i="2"/>
  <c r="G200" i="2"/>
  <c r="H200" i="2"/>
  <c r="I200" i="2"/>
  <c r="L200" i="2"/>
  <c r="M200" i="2"/>
  <c r="N200" i="2"/>
  <c r="S200" i="2"/>
  <c r="A201" i="2"/>
  <c r="T201" i="2" s="1"/>
  <c r="B201" i="2"/>
  <c r="C201" i="2"/>
  <c r="D201" i="2"/>
  <c r="E201" i="2"/>
  <c r="F201" i="2"/>
  <c r="G201" i="2"/>
  <c r="H201" i="2"/>
  <c r="I201" i="2"/>
  <c r="L201" i="2"/>
  <c r="M201" i="2"/>
  <c r="N201" i="2"/>
  <c r="U201" i="2"/>
  <c r="A202" i="2"/>
  <c r="S202" i="2" s="1"/>
  <c r="B202" i="2"/>
  <c r="C202" i="2"/>
  <c r="D202" i="2"/>
  <c r="E202" i="2"/>
  <c r="F202" i="2"/>
  <c r="G202" i="2"/>
  <c r="H202" i="2"/>
  <c r="I202" i="2"/>
  <c r="L202" i="2"/>
  <c r="M202" i="2"/>
  <c r="N202" i="2"/>
  <c r="U202" i="2"/>
  <c r="A203" i="2"/>
  <c r="B203" i="2"/>
  <c r="C203" i="2"/>
  <c r="D203" i="2"/>
  <c r="E203" i="2"/>
  <c r="F203" i="2"/>
  <c r="G203" i="2"/>
  <c r="H203" i="2"/>
  <c r="I203" i="2"/>
  <c r="L203" i="2"/>
  <c r="M203" i="2"/>
  <c r="N203" i="2"/>
  <c r="S203" i="2"/>
  <c r="A204" i="2"/>
  <c r="T204" i="2" s="1"/>
  <c r="B204" i="2"/>
  <c r="C204" i="2"/>
  <c r="D204" i="2"/>
  <c r="E204" i="2"/>
  <c r="F204" i="2"/>
  <c r="G204" i="2"/>
  <c r="H204" i="2"/>
  <c r="I204" i="2"/>
  <c r="L204" i="2"/>
  <c r="M204" i="2"/>
  <c r="N204" i="2"/>
  <c r="S204" i="2"/>
  <c r="A205" i="2"/>
  <c r="T205" i="2" s="1"/>
  <c r="B205" i="2"/>
  <c r="C205" i="2"/>
  <c r="D205" i="2"/>
  <c r="E205" i="2"/>
  <c r="F205" i="2"/>
  <c r="G205" i="2"/>
  <c r="H205" i="2"/>
  <c r="I205" i="2"/>
  <c r="L205" i="2"/>
  <c r="M205" i="2"/>
  <c r="N205" i="2"/>
  <c r="S205" i="2"/>
  <c r="A206" i="2"/>
  <c r="T206" i="2" s="1"/>
  <c r="B206" i="2"/>
  <c r="C206" i="2"/>
  <c r="D206" i="2"/>
  <c r="E206" i="2"/>
  <c r="F206" i="2"/>
  <c r="G206" i="2"/>
  <c r="H206" i="2"/>
  <c r="I206" i="2"/>
  <c r="L206" i="2"/>
  <c r="M206" i="2"/>
  <c r="N206" i="2"/>
  <c r="A207" i="2"/>
  <c r="U207" i="2" s="1"/>
  <c r="B207" i="2"/>
  <c r="C207" i="2"/>
  <c r="D207" i="2"/>
  <c r="E207" i="2"/>
  <c r="F207" i="2"/>
  <c r="G207" i="2"/>
  <c r="H207" i="2"/>
  <c r="I207" i="2"/>
  <c r="L207" i="2"/>
  <c r="M207" i="2"/>
  <c r="N207" i="2"/>
  <c r="A208" i="2"/>
  <c r="B208" i="2"/>
  <c r="C208" i="2"/>
  <c r="D208" i="2"/>
  <c r="E208" i="2"/>
  <c r="F208" i="2"/>
  <c r="G208" i="2"/>
  <c r="H208" i="2"/>
  <c r="I208" i="2"/>
  <c r="L208" i="2"/>
  <c r="M208" i="2"/>
  <c r="N208" i="2"/>
  <c r="A209" i="2"/>
  <c r="T209" i="2" s="1"/>
  <c r="B209" i="2"/>
  <c r="C209" i="2"/>
  <c r="D209" i="2"/>
  <c r="E209" i="2"/>
  <c r="F209" i="2"/>
  <c r="G209" i="2"/>
  <c r="H209" i="2"/>
  <c r="I209" i="2"/>
  <c r="L209" i="2"/>
  <c r="M209" i="2"/>
  <c r="N209" i="2"/>
  <c r="S209" i="2"/>
  <c r="A210" i="2"/>
  <c r="S210" i="2" s="1"/>
  <c r="B210" i="2"/>
  <c r="C210" i="2"/>
  <c r="D210" i="2"/>
  <c r="E210" i="2"/>
  <c r="F210" i="2"/>
  <c r="G210" i="2"/>
  <c r="H210" i="2"/>
  <c r="I210" i="2"/>
  <c r="L210" i="2"/>
  <c r="M210" i="2"/>
  <c r="N210" i="2"/>
  <c r="T210" i="2"/>
  <c r="A211" i="2"/>
  <c r="T211" i="2" s="1"/>
  <c r="B211" i="2"/>
  <c r="C211" i="2"/>
  <c r="D211" i="2"/>
  <c r="E211" i="2"/>
  <c r="F211" i="2"/>
  <c r="G211" i="2"/>
  <c r="H211" i="2"/>
  <c r="I211" i="2"/>
  <c r="L211" i="2"/>
  <c r="M211" i="2"/>
  <c r="N211" i="2"/>
  <c r="S211" i="2"/>
  <c r="A212" i="2"/>
  <c r="T212" i="2" s="1"/>
  <c r="B212" i="2"/>
  <c r="C212" i="2"/>
  <c r="D212" i="2"/>
  <c r="E212" i="2"/>
  <c r="F212" i="2"/>
  <c r="G212" i="2"/>
  <c r="H212" i="2"/>
  <c r="I212" i="2"/>
  <c r="L212" i="2"/>
  <c r="M212" i="2"/>
  <c r="N212" i="2"/>
  <c r="S212" i="2"/>
  <c r="A213" i="2"/>
  <c r="B213" i="2"/>
  <c r="C213" i="2"/>
  <c r="D213" i="2"/>
  <c r="E213" i="2"/>
  <c r="F213" i="2"/>
  <c r="G213" i="2"/>
  <c r="H213" i="2"/>
  <c r="I213" i="2"/>
  <c r="L213" i="2"/>
  <c r="M213" i="2"/>
  <c r="N213" i="2"/>
  <c r="A214" i="2"/>
  <c r="B214" i="2"/>
  <c r="C214" i="2"/>
  <c r="D214" i="2"/>
  <c r="E214" i="2"/>
  <c r="F214" i="2"/>
  <c r="G214" i="2"/>
  <c r="H214" i="2"/>
  <c r="I214" i="2"/>
  <c r="L214" i="2"/>
  <c r="M214" i="2"/>
  <c r="N214" i="2"/>
  <c r="A215" i="2"/>
  <c r="B215" i="2"/>
  <c r="C215" i="2"/>
  <c r="D215" i="2"/>
  <c r="E215" i="2"/>
  <c r="F215" i="2"/>
  <c r="G215" i="2"/>
  <c r="H215" i="2"/>
  <c r="I215" i="2"/>
  <c r="L215" i="2"/>
  <c r="M215" i="2"/>
  <c r="N215" i="2"/>
  <c r="A216" i="2"/>
  <c r="B216" i="2"/>
  <c r="C216" i="2"/>
  <c r="D216" i="2"/>
  <c r="E216" i="2"/>
  <c r="F216" i="2"/>
  <c r="G216" i="2"/>
  <c r="H216" i="2"/>
  <c r="I216" i="2"/>
  <c r="L216" i="2"/>
  <c r="M216" i="2"/>
  <c r="N216" i="2"/>
  <c r="T216" i="2"/>
  <c r="A217" i="2"/>
  <c r="T217" i="2" s="1"/>
  <c r="B217" i="2"/>
  <c r="C217" i="2"/>
  <c r="D217" i="2"/>
  <c r="E217" i="2"/>
  <c r="F217" i="2"/>
  <c r="G217" i="2"/>
  <c r="H217" i="2"/>
  <c r="I217" i="2"/>
  <c r="L217" i="2"/>
  <c r="M217" i="2"/>
  <c r="N217" i="2"/>
  <c r="U217" i="2"/>
  <c r="A218" i="2"/>
  <c r="B218" i="2"/>
  <c r="C218" i="2"/>
  <c r="D218" i="2"/>
  <c r="E218" i="2"/>
  <c r="F218" i="2"/>
  <c r="G218" i="2"/>
  <c r="H218" i="2"/>
  <c r="I218" i="2"/>
  <c r="L218" i="2"/>
  <c r="M218" i="2"/>
  <c r="N218" i="2"/>
  <c r="A219" i="2"/>
  <c r="T219" i="2" s="1"/>
  <c r="B219" i="2"/>
  <c r="C219" i="2"/>
  <c r="D219" i="2"/>
  <c r="E219" i="2"/>
  <c r="F219" i="2"/>
  <c r="G219" i="2"/>
  <c r="H219" i="2"/>
  <c r="I219" i="2"/>
  <c r="L219" i="2"/>
  <c r="M219" i="2"/>
  <c r="N219" i="2"/>
  <c r="S219" i="2"/>
  <c r="A220" i="2"/>
  <c r="T220" i="2" s="1"/>
  <c r="B220" i="2"/>
  <c r="C220" i="2"/>
  <c r="D220" i="2"/>
  <c r="E220" i="2"/>
  <c r="F220" i="2"/>
  <c r="G220" i="2"/>
  <c r="H220" i="2"/>
  <c r="I220" i="2"/>
  <c r="L220" i="2"/>
  <c r="M220" i="2"/>
  <c r="N220" i="2"/>
  <c r="S220" i="2"/>
  <c r="A221" i="2"/>
  <c r="B221" i="2"/>
  <c r="C221" i="2"/>
  <c r="D221" i="2"/>
  <c r="E221" i="2"/>
  <c r="F221" i="2"/>
  <c r="G221" i="2"/>
  <c r="H221" i="2"/>
  <c r="I221" i="2"/>
  <c r="L221" i="2"/>
  <c r="M221" i="2"/>
  <c r="N221" i="2"/>
  <c r="S221" i="2"/>
  <c r="A222" i="2"/>
  <c r="B222" i="2"/>
  <c r="C222" i="2"/>
  <c r="D222" i="2"/>
  <c r="E222" i="2"/>
  <c r="F222" i="2"/>
  <c r="G222" i="2"/>
  <c r="H222" i="2"/>
  <c r="I222" i="2"/>
  <c r="L222" i="2"/>
  <c r="M222" i="2"/>
  <c r="N222" i="2"/>
  <c r="T222" i="2"/>
  <c r="A223" i="2"/>
  <c r="B223" i="2"/>
  <c r="C223" i="2"/>
  <c r="D223" i="2"/>
  <c r="E223" i="2"/>
  <c r="F223" i="2"/>
  <c r="G223" i="2"/>
  <c r="H223" i="2"/>
  <c r="I223" i="2"/>
  <c r="L223" i="2"/>
  <c r="M223" i="2"/>
  <c r="N223" i="2"/>
  <c r="U223" i="2"/>
  <c r="A224" i="2"/>
  <c r="B224" i="2"/>
  <c r="C224" i="2"/>
  <c r="D224" i="2"/>
  <c r="E224" i="2"/>
  <c r="F224" i="2"/>
  <c r="G224" i="2"/>
  <c r="H224" i="2"/>
  <c r="I224" i="2"/>
  <c r="L224" i="2"/>
  <c r="M224" i="2"/>
  <c r="N224" i="2"/>
  <c r="A225" i="2"/>
  <c r="T225" i="2" s="1"/>
  <c r="B225" i="2"/>
  <c r="C225" i="2"/>
  <c r="D225" i="2"/>
  <c r="E225" i="2"/>
  <c r="F225" i="2"/>
  <c r="G225" i="2"/>
  <c r="H225" i="2"/>
  <c r="I225" i="2"/>
  <c r="L225" i="2"/>
  <c r="M225" i="2"/>
  <c r="N225" i="2"/>
  <c r="A226" i="2"/>
  <c r="B226" i="2"/>
  <c r="C226" i="2"/>
  <c r="D226" i="2"/>
  <c r="E226" i="2"/>
  <c r="F226" i="2"/>
  <c r="G226" i="2"/>
  <c r="H226" i="2"/>
  <c r="I226" i="2"/>
  <c r="L226" i="2"/>
  <c r="M226" i="2"/>
  <c r="N226" i="2"/>
  <c r="A227" i="2"/>
  <c r="B227" i="2"/>
  <c r="C227" i="2"/>
  <c r="D227" i="2"/>
  <c r="E227" i="2"/>
  <c r="F227" i="2"/>
  <c r="G227" i="2"/>
  <c r="H227" i="2"/>
  <c r="I227" i="2"/>
  <c r="L227" i="2"/>
  <c r="M227" i="2"/>
  <c r="N227" i="2"/>
  <c r="S227" i="2"/>
  <c r="A228" i="2"/>
  <c r="B228" i="2"/>
  <c r="C228" i="2"/>
  <c r="D228" i="2"/>
  <c r="E228" i="2"/>
  <c r="F228" i="2"/>
  <c r="G228" i="2"/>
  <c r="H228" i="2"/>
  <c r="I228" i="2"/>
  <c r="L228" i="2"/>
  <c r="M228" i="2"/>
  <c r="N228" i="2"/>
  <c r="A229" i="2"/>
  <c r="U229" i="2" s="1"/>
  <c r="B229" i="2"/>
  <c r="C229" i="2"/>
  <c r="D229" i="2"/>
  <c r="E229" i="2"/>
  <c r="F229" i="2"/>
  <c r="G229" i="2"/>
  <c r="H229" i="2"/>
  <c r="I229" i="2"/>
  <c r="L229" i="2"/>
  <c r="M229" i="2"/>
  <c r="N229" i="2"/>
  <c r="S229" i="2"/>
  <c r="A230" i="2"/>
  <c r="B230" i="2"/>
  <c r="C230" i="2"/>
  <c r="D230" i="2"/>
  <c r="E230" i="2"/>
  <c r="F230" i="2"/>
  <c r="G230" i="2"/>
  <c r="H230" i="2"/>
  <c r="I230" i="2"/>
  <c r="L230" i="2"/>
  <c r="M230" i="2"/>
  <c r="N230" i="2"/>
  <c r="A231" i="2"/>
  <c r="B231" i="2"/>
  <c r="C231" i="2"/>
  <c r="D231" i="2"/>
  <c r="E231" i="2"/>
  <c r="F231" i="2"/>
  <c r="G231" i="2"/>
  <c r="H231" i="2"/>
  <c r="I231" i="2"/>
  <c r="L231" i="2"/>
  <c r="M231" i="2"/>
  <c r="N231" i="2"/>
  <c r="A232" i="2"/>
  <c r="B232" i="2"/>
  <c r="C232" i="2"/>
  <c r="D232" i="2"/>
  <c r="E232" i="2"/>
  <c r="F232" i="2"/>
  <c r="G232" i="2"/>
  <c r="H232" i="2"/>
  <c r="I232" i="2"/>
  <c r="L232" i="2"/>
  <c r="M232" i="2"/>
  <c r="N232" i="2"/>
  <c r="S232" i="2"/>
  <c r="A233" i="2"/>
  <c r="B233" i="2"/>
  <c r="C233" i="2"/>
  <c r="D233" i="2"/>
  <c r="E233" i="2"/>
  <c r="F233" i="2"/>
  <c r="G233" i="2"/>
  <c r="H233" i="2"/>
  <c r="I233" i="2"/>
  <c r="L233" i="2"/>
  <c r="M233" i="2"/>
  <c r="N233" i="2"/>
  <c r="A234" i="2"/>
  <c r="S234" i="2" s="1"/>
  <c r="B234" i="2"/>
  <c r="C234" i="2"/>
  <c r="D234" i="2"/>
  <c r="E234" i="2"/>
  <c r="F234" i="2"/>
  <c r="G234" i="2"/>
  <c r="H234" i="2"/>
  <c r="I234" i="2"/>
  <c r="L234" i="2"/>
  <c r="M234" i="2"/>
  <c r="N234" i="2"/>
  <c r="U234" i="2"/>
  <c r="A235" i="2"/>
  <c r="T235" i="2" s="1"/>
  <c r="B235" i="2"/>
  <c r="C235" i="2"/>
  <c r="D235" i="2"/>
  <c r="E235" i="2"/>
  <c r="F235" i="2"/>
  <c r="G235" i="2"/>
  <c r="H235" i="2"/>
  <c r="I235" i="2"/>
  <c r="L235" i="2"/>
  <c r="M235" i="2"/>
  <c r="N235" i="2"/>
  <c r="U235" i="2"/>
  <c r="A236" i="2"/>
  <c r="B236" i="2"/>
  <c r="C236" i="2"/>
  <c r="D236" i="2"/>
  <c r="E236" i="2"/>
  <c r="F236" i="2"/>
  <c r="G236" i="2"/>
  <c r="H236" i="2"/>
  <c r="I236" i="2"/>
  <c r="L236" i="2"/>
  <c r="M236" i="2"/>
  <c r="N236" i="2"/>
  <c r="A237" i="2"/>
  <c r="B237" i="2"/>
  <c r="C237" i="2"/>
  <c r="D237" i="2"/>
  <c r="E237" i="2"/>
  <c r="F237" i="2"/>
  <c r="G237" i="2"/>
  <c r="H237" i="2"/>
  <c r="I237" i="2"/>
  <c r="L237" i="2"/>
  <c r="M237" i="2"/>
  <c r="N237" i="2"/>
  <c r="T237" i="2"/>
  <c r="A238" i="2"/>
  <c r="T238" i="2" s="1"/>
  <c r="B238" i="2"/>
  <c r="C238" i="2"/>
  <c r="D238" i="2"/>
  <c r="E238" i="2"/>
  <c r="F238" i="2"/>
  <c r="G238" i="2"/>
  <c r="H238" i="2"/>
  <c r="I238" i="2"/>
  <c r="L238" i="2"/>
  <c r="M238" i="2"/>
  <c r="N238" i="2"/>
  <c r="A239" i="2"/>
  <c r="U239" i="2" s="1"/>
  <c r="B239" i="2"/>
  <c r="C239" i="2"/>
  <c r="D239" i="2"/>
  <c r="E239" i="2"/>
  <c r="F239" i="2"/>
  <c r="G239" i="2"/>
  <c r="H239" i="2"/>
  <c r="I239" i="2"/>
  <c r="L239" i="2"/>
  <c r="M239" i="2"/>
  <c r="N239" i="2"/>
  <c r="A240" i="2"/>
  <c r="B240" i="2"/>
  <c r="C240" i="2"/>
  <c r="D240" i="2"/>
  <c r="E240" i="2"/>
  <c r="F240" i="2"/>
  <c r="G240" i="2"/>
  <c r="H240" i="2"/>
  <c r="I240" i="2"/>
  <c r="L240" i="2"/>
  <c r="M240" i="2"/>
  <c r="N240" i="2"/>
  <c r="S240" i="2"/>
  <c r="A241" i="2"/>
  <c r="T241" i="2" s="1"/>
  <c r="B241" i="2"/>
  <c r="C241" i="2"/>
  <c r="D241" i="2"/>
  <c r="E241" i="2"/>
  <c r="F241" i="2"/>
  <c r="G241" i="2"/>
  <c r="H241" i="2"/>
  <c r="I241" i="2"/>
  <c r="L241" i="2"/>
  <c r="M241" i="2"/>
  <c r="N241" i="2"/>
  <c r="A242" i="2"/>
  <c r="B242" i="2"/>
  <c r="C242" i="2"/>
  <c r="D242" i="2"/>
  <c r="E242" i="2"/>
  <c r="F242" i="2"/>
  <c r="G242" i="2"/>
  <c r="H242" i="2"/>
  <c r="I242" i="2"/>
  <c r="L242" i="2"/>
  <c r="M242" i="2"/>
  <c r="N242" i="2"/>
  <c r="A243" i="2"/>
  <c r="T243" i="2" s="1"/>
  <c r="B243" i="2"/>
  <c r="C243" i="2"/>
  <c r="D243" i="2"/>
  <c r="E243" i="2"/>
  <c r="F243" i="2"/>
  <c r="G243" i="2"/>
  <c r="H243" i="2"/>
  <c r="I243" i="2"/>
  <c r="L243" i="2"/>
  <c r="M243" i="2"/>
  <c r="N243" i="2"/>
  <c r="S243" i="2"/>
  <c r="A244" i="2"/>
  <c r="U244" i="2" s="1"/>
  <c r="B244" i="2"/>
  <c r="C244" i="2"/>
  <c r="D244" i="2"/>
  <c r="E244" i="2"/>
  <c r="F244" i="2"/>
  <c r="G244" i="2"/>
  <c r="H244" i="2"/>
  <c r="I244" i="2"/>
  <c r="L244" i="2"/>
  <c r="M244" i="2"/>
  <c r="N244" i="2"/>
  <c r="S244" i="2"/>
  <c r="A245" i="2"/>
  <c r="T245" i="2" s="1"/>
  <c r="B245" i="2"/>
  <c r="C245" i="2"/>
  <c r="D245" i="2"/>
  <c r="E245" i="2"/>
  <c r="F245" i="2"/>
  <c r="G245" i="2"/>
  <c r="H245" i="2"/>
  <c r="I245" i="2"/>
  <c r="L245" i="2"/>
  <c r="M245" i="2"/>
  <c r="N245" i="2"/>
  <c r="S245" i="2"/>
  <c r="A246" i="2"/>
  <c r="B246" i="2"/>
  <c r="C246" i="2"/>
  <c r="D246" i="2"/>
  <c r="E246" i="2"/>
  <c r="F246" i="2"/>
  <c r="G246" i="2"/>
  <c r="H246" i="2"/>
  <c r="I246" i="2"/>
  <c r="L246" i="2"/>
  <c r="M246" i="2"/>
  <c r="N246" i="2"/>
  <c r="A247" i="2"/>
  <c r="B247" i="2"/>
  <c r="C247" i="2"/>
  <c r="D247" i="2"/>
  <c r="E247" i="2"/>
  <c r="F247" i="2"/>
  <c r="G247" i="2"/>
  <c r="H247" i="2"/>
  <c r="I247" i="2"/>
  <c r="L247" i="2"/>
  <c r="M247" i="2"/>
  <c r="N247" i="2"/>
  <c r="A248" i="2"/>
  <c r="B248" i="2"/>
  <c r="C248" i="2"/>
  <c r="D248" i="2"/>
  <c r="E248" i="2"/>
  <c r="F248" i="2"/>
  <c r="G248" i="2"/>
  <c r="H248" i="2"/>
  <c r="I248" i="2"/>
  <c r="L248" i="2"/>
  <c r="M248" i="2"/>
  <c r="N248" i="2"/>
  <c r="S248" i="2"/>
  <c r="A249" i="2"/>
  <c r="T249" i="2" s="1"/>
  <c r="B249" i="2"/>
  <c r="C249" i="2"/>
  <c r="D249" i="2"/>
  <c r="E249" i="2"/>
  <c r="F249" i="2"/>
  <c r="G249" i="2"/>
  <c r="H249" i="2"/>
  <c r="I249" i="2"/>
  <c r="L249" i="2"/>
  <c r="M249" i="2"/>
  <c r="N249" i="2"/>
  <c r="U249" i="2"/>
  <c r="A250" i="2"/>
  <c r="S250" i="2" s="1"/>
  <c r="B250" i="2"/>
  <c r="C250" i="2"/>
  <c r="D250" i="2"/>
  <c r="E250" i="2"/>
  <c r="F250" i="2"/>
  <c r="G250" i="2"/>
  <c r="H250" i="2"/>
  <c r="I250" i="2"/>
  <c r="L250" i="2"/>
  <c r="M250" i="2"/>
  <c r="N250" i="2"/>
  <c r="U250" i="2"/>
  <c r="A251" i="2"/>
  <c r="T251" i="2" s="1"/>
  <c r="B251" i="2"/>
  <c r="C251" i="2"/>
  <c r="D251" i="2"/>
  <c r="E251" i="2"/>
  <c r="F251" i="2"/>
  <c r="G251" i="2"/>
  <c r="H251" i="2"/>
  <c r="I251" i="2"/>
  <c r="L251" i="2"/>
  <c r="M251" i="2"/>
  <c r="N251" i="2"/>
  <c r="S251" i="2"/>
  <c r="A252" i="2"/>
  <c r="U252" i="2" s="1"/>
  <c r="B252" i="2"/>
  <c r="C252" i="2"/>
  <c r="D252" i="2"/>
  <c r="E252" i="2"/>
  <c r="F252" i="2"/>
  <c r="G252" i="2"/>
  <c r="H252" i="2"/>
  <c r="I252" i="2"/>
  <c r="L252" i="2"/>
  <c r="M252" i="2"/>
  <c r="N252" i="2"/>
  <c r="S252" i="2"/>
  <c r="A253" i="2"/>
  <c r="T253" i="2" s="1"/>
  <c r="B253" i="2"/>
  <c r="C253" i="2"/>
  <c r="D253" i="2"/>
  <c r="E253" i="2"/>
  <c r="F253" i="2"/>
  <c r="G253" i="2"/>
  <c r="H253" i="2"/>
  <c r="I253" i="2"/>
  <c r="L253" i="2"/>
  <c r="M253" i="2"/>
  <c r="N253" i="2"/>
  <c r="S253" i="2"/>
  <c r="A254" i="2"/>
  <c r="T254" i="2" s="1"/>
  <c r="B254" i="2"/>
  <c r="C254" i="2"/>
  <c r="D254" i="2"/>
  <c r="E254" i="2"/>
  <c r="F254" i="2"/>
  <c r="G254" i="2"/>
  <c r="H254" i="2"/>
  <c r="I254" i="2"/>
  <c r="L254" i="2"/>
  <c r="M254" i="2"/>
  <c r="N254" i="2"/>
  <c r="A255" i="2"/>
  <c r="B255" i="2"/>
  <c r="C255" i="2"/>
  <c r="D255" i="2"/>
  <c r="E255" i="2"/>
  <c r="F255" i="2"/>
  <c r="G255" i="2"/>
  <c r="H255" i="2"/>
  <c r="I255" i="2"/>
  <c r="L255" i="2"/>
  <c r="M255" i="2"/>
  <c r="N255" i="2"/>
  <c r="U255" i="2"/>
  <c r="A256" i="2"/>
  <c r="U256" i="2" s="1"/>
  <c r="B256" i="2"/>
  <c r="C256" i="2"/>
  <c r="D256" i="2"/>
  <c r="E256" i="2"/>
  <c r="F256" i="2"/>
  <c r="G256" i="2"/>
  <c r="H256" i="2"/>
  <c r="I256" i="2"/>
  <c r="L256" i="2"/>
  <c r="M256" i="2"/>
  <c r="N256" i="2"/>
  <c r="S256" i="2"/>
  <c r="A257" i="2"/>
  <c r="B257" i="2"/>
  <c r="C257" i="2"/>
  <c r="D257" i="2"/>
  <c r="E257" i="2"/>
  <c r="F257" i="2"/>
  <c r="G257" i="2"/>
  <c r="H257" i="2"/>
  <c r="I257" i="2"/>
  <c r="L257" i="2"/>
  <c r="M257" i="2"/>
  <c r="N257" i="2"/>
  <c r="A258" i="2"/>
  <c r="B258" i="2"/>
  <c r="C258" i="2"/>
  <c r="D258" i="2"/>
  <c r="E258" i="2"/>
  <c r="F258" i="2"/>
  <c r="G258" i="2"/>
  <c r="H258" i="2"/>
  <c r="I258" i="2"/>
  <c r="L258" i="2"/>
  <c r="M258" i="2"/>
  <c r="N258" i="2"/>
  <c r="A259" i="2"/>
  <c r="B259" i="2"/>
  <c r="C259" i="2"/>
  <c r="D259" i="2"/>
  <c r="E259" i="2"/>
  <c r="F259" i="2"/>
  <c r="G259" i="2"/>
  <c r="H259" i="2"/>
  <c r="I259" i="2"/>
  <c r="L259" i="2"/>
  <c r="M259" i="2"/>
  <c r="N259" i="2"/>
  <c r="S259" i="2"/>
  <c r="A260" i="2"/>
  <c r="U260" i="2" s="1"/>
  <c r="B260" i="2"/>
  <c r="C260" i="2"/>
  <c r="D260" i="2"/>
  <c r="E260" i="2"/>
  <c r="F260" i="2"/>
  <c r="G260" i="2"/>
  <c r="H260" i="2"/>
  <c r="I260" i="2"/>
  <c r="L260" i="2"/>
  <c r="M260" i="2"/>
  <c r="N260" i="2"/>
  <c r="S260" i="2"/>
  <c r="A261" i="2"/>
  <c r="U261" i="2" s="1"/>
  <c r="B261" i="2"/>
  <c r="C261" i="2"/>
  <c r="D261" i="2"/>
  <c r="E261" i="2"/>
  <c r="F261" i="2"/>
  <c r="G261" i="2"/>
  <c r="H261" i="2"/>
  <c r="I261" i="2"/>
  <c r="L261" i="2"/>
  <c r="M261" i="2"/>
  <c r="N261" i="2"/>
  <c r="S261" i="2"/>
  <c r="T261" i="2"/>
  <c r="A262" i="2"/>
  <c r="B262" i="2"/>
  <c r="C262" i="2"/>
  <c r="D262" i="2"/>
  <c r="E262" i="2"/>
  <c r="F262" i="2"/>
  <c r="G262" i="2"/>
  <c r="H262" i="2"/>
  <c r="I262" i="2"/>
  <c r="L262" i="2"/>
  <c r="M262" i="2"/>
  <c r="N262" i="2"/>
  <c r="A263" i="2"/>
  <c r="B263" i="2"/>
  <c r="C263" i="2"/>
  <c r="D263" i="2"/>
  <c r="E263" i="2"/>
  <c r="F263" i="2"/>
  <c r="G263" i="2"/>
  <c r="H263" i="2"/>
  <c r="I263" i="2"/>
  <c r="L263" i="2"/>
  <c r="M263" i="2"/>
  <c r="N263" i="2"/>
  <c r="A264" i="2"/>
  <c r="U264" i="2" s="1"/>
  <c r="B264" i="2"/>
  <c r="C264" i="2"/>
  <c r="D264" i="2"/>
  <c r="E264" i="2"/>
  <c r="F264" i="2"/>
  <c r="G264" i="2"/>
  <c r="H264" i="2"/>
  <c r="I264" i="2"/>
  <c r="L264" i="2"/>
  <c r="M264" i="2"/>
  <c r="N264" i="2"/>
  <c r="S264" i="2"/>
  <c r="A265" i="2"/>
  <c r="B265" i="2"/>
  <c r="C265" i="2"/>
  <c r="D265" i="2"/>
  <c r="E265" i="2"/>
  <c r="F265" i="2"/>
  <c r="G265" i="2"/>
  <c r="H265" i="2"/>
  <c r="I265" i="2"/>
  <c r="L265" i="2"/>
  <c r="M265" i="2"/>
  <c r="N265" i="2"/>
  <c r="A266" i="2"/>
  <c r="B266" i="2"/>
  <c r="C266" i="2"/>
  <c r="D266" i="2"/>
  <c r="E266" i="2"/>
  <c r="F266" i="2"/>
  <c r="G266" i="2"/>
  <c r="H266" i="2"/>
  <c r="I266" i="2"/>
  <c r="L266" i="2"/>
  <c r="M266" i="2"/>
  <c r="N266" i="2"/>
  <c r="A267" i="2"/>
  <c r="B267" i="2"/>
  <c r="C267" i="2"/>
  <c r="D267" i="2"/>
  <c r="E267" i="2"/>
  <c r="F267" i="2"/>
  <c r="G267" i="2"/>
  <c r="H267" i="2"/>
  <c r="I267" i="2"/>
  <c r="L267" i="2"/>
  <c r="M267" i="2"/>
  <c r="N267" i="2"/>
  <c r="U267" i="2"/>
  <c r="A268" i="2"/>
  <c r="T268" i="2" s="1"/>
  <c r="B268" i="2"/>
  <c r="C268" i="2"/>
  <c r="D268" i="2"/>
  <c r="E268" i="2"/>
  <c r="F268" i="2"/>
  <c r="G268" i="2"/>
  <c r="H268" i="2"/>
  <c r="I268" i="2"/>
  <c r="L268" i="2"/>
  <c r="M268" i="2"/>
  <c r="N268" i="2"/>
  <c r="S268" i="2"/>
  <c r="A269" i="2"/>
  <c r="U269" i="2" s="1"/>
  <c r="B269" i="2"/>
  <c r="C269" i="2"/>
  <c r="D269" i="2"/>
  <c r="E269" i="2"/>
  <c r="F269" i="2"/>
  <c r="G269" i="2"/>
  <c r="H269" i="2"/>
  <c r="I269" i="2"/>
  <c r="L269" i="2"/>
  <c r="M269" i="2"/>
  <c r="N269" i="2"/>
  <c r="S269" i="2"/>
  <c r="A270" i="2"/>
  <c r="B270" i="2"/>
  <c r="C270" i="2"/>
  <c r="D270" i="2"/>
  <c r="E270" i="2"/>
  <c r="F270" i="2"/>
  <c r="G270" i="2"/>
  <c r="H270" i="2"/>
  <c r="I270" i="2"/>
  <c r="L270" i="2"/>
  <c r="M270" i="2"/>
  <c r="N270" i="2"/>
  <c r="T270" i="2"/>
  <c r="A271" i="2"/>
  <c r="B271" i="2"/>
  <c r="C271" i="2"/>
  <c r="D271" i="2"/>
  <c r="E271" i="2"/>
  <c r="F271" i="2"/>
  <c r="G271" i="2"/>
  <c r="H271" i="2"/>
  <c r="I271" i="2"/>
  <c r="L271" i="2"/>
  <c r="M271" i="2"/>
  <c r="N271" i="2"/>
  <c r="U271" i="2"/>
  <c r="A272" i="2"/>
  <c r="T272" i="2" s="1"/>
  <c r="B272" i="2"/>
  <c r="C272" i="2"/>
  <c r="D272" i="2"/>
  <c r="E272" i="2"/>
  <c r="F272" i="2"/>
  <c r="G272" i="2"/>
  <c r="H272" i="2"/>
  <c r="I272" i="2"/>
  <c r="L272" i="2"/>
  <c r="M272" i="2"/>
  <c r="N272" i="2"/>
  <c r="S272" i="2"/>
  <c r="A273" i="2"/>
  <c r="B273" i="2"/>
  <c r="C273" i="2"/>
  <c r="D273" i="2"/>
  <c r="E273" i="2"/>
  <c r="F273" i="2"/>
  <c r="G273" i="2"/>
  <c r="H273" i="2"/>
  <c r="I273" i="2"/>
  <c r="L273" i="2"/>
  <c r="M273" i="2"/>
  <c r="N273" i="2"/>
  <c r="S273" i="2"/>
  <c r="A274" i="2"/>
  <c r="B274" i="2"/>
  <c r="C274" i="2"/>
  <c r="D274" i="2"/>
  <c r="E274" i="2"/>
  <c r="F274" i="2"/>
  <c r="G274" i="2"/>
  <c r="H274" i="2"/>
  <c r="I274" i="2"/>
  <c r="L274" i="2"/>
  <c r="M274" i="2"/>
  <c r="N274" i="2"/>
  <c r="A275" i="2"/>
  <c r="T275" i="2" s="1"/>
  <c r="B275" i="2"/>
  <c r="C275" i="2"/>
  <c r="D275" i="2"/>
  <c r="E275" i="2"/>
  <c r="F275" i="2"/>
  <c r="G275" i="2"/>
  <c r="H275" i="2"/>
  <c r="I275" i="2"/>
  <c r="L275" i="2"/>
  <c r="M275" i="2"/>
  <c r="N275" i="2"/>
  <c r="S275" i="2"/>
  <c r="A276" i="2"/>
  <c r="T276" i="2" s="1"/>
  <c r="B276" i="2"/>
  <c r="C276" i="2"/>
  <c r="D276" i="2"/>
  <c r="E276" i="2"/>
  <c r="F276" i="2"/>
  <c r="G276" i="2"/>
  <c r="H276" i="2"/>
  <c r="I276" i="2"/>
  <c r="L276" i="2"/>
  <c r="M276" i="2"/>
  <c r="N276" i="2"/>
  <c r="U276" i="2"/>
  <c r="A277" i="2"/>
  <c r="B277" i="2"/>
  <c r="C277" i="2"/>
  <c r="D277" i="2"/>
  <c r="E277" i="2"/>
  <c r="F277" i="2"/>
  <c r="G277" i="2"/>
  <c r="H277" i="2"/>
  <c r="I277" i="2"/>
  <c r="L277" i="2"/>
  <c r="M277" i="2"/>
  <c r="N277" i="2"/>
  <c r="A278" i="2"/>
  <c r="S278" i="2" s="1"/>
  <c r="B278" i="2"/>
  <c r="C278" i="2"/>
  <c r="D278" i="2"/>
  <c r="E278" i="2"/>
  <c r="F278" i="2"/>
  <c r="G278" i="2"/>
  <c r="H278" i="2"/>
  <c r="I278" i="2"/>
  <c r="L278" i="2"/>
  <c r="M278" i="2"/>
  <c r="N278" i="2"/>
  <c r="T278" i="2"/>
  <c r="A279" i="2"/>
  <c r="B279" i="2"/>
  <c r="C279" i="2"/>
  <c r="D279" i="2"/>
  <c r="E279" i="2"/>
  <c r="F279" i="2"/>
  <c r="G279" i="2"/>
  <c r="H279" i="2"/>
  <c r="I279" i="2"/>
  <c r="L279" i="2"/>
  <c r="M279" i="2"/>
  <c r="N279" i="2"/>
  <c r="A280" i="2"/>
  <c r="B280" i="2"/>
  <c r="C280" i="2"/>
  <c r="D280" i="2"/>
  <c r="E280" i="2"/>
  <c r="F280" i="2"/>
  <c r="G280" i="2"/>
  <c r="H280" i="2"/>
  <c r="I280" i="2"/>
  <c r="L280" i="2"/>
  <c r="M280" i="2"/>
  <c r="N280" i="2"/>
  <c r="A281" i="2"/>
  <c r="B281" i="2"/>
  <c r="C281" i="2"/>
  <c r="D281" i="2"/>
  <c r="E281" i="2"/>
  <c r="F281" i="2"/>
  <c r="G281" i="2"/>
  <c r="H281" i="2"/>
  <c r="I281" i="2"/>
  <c r="L281" i="2"/>
  <c r="M281" i="2"/>
  <c r="N281" i="2"/>
  <c r="S281" i="2"/>
  <c r="A282" i="2"/>
  <c r="U282" i="2" s="1"/>
  <c r="B282" i="2"/>
  <c r="C282" i="2"/>
  <c r="D282" i="2"/>
  <c r="E282" i="2"/>
  <c r="F282" i="2"/>
  <c r="G282" i="2"/>
  <c r="H282" i="2"/>
  <c r="I282" i="2"/>
  <c r="L282" i="2"/>
  <c r="M282" i="2"/>
  <c r="N282" i="2"/>
  <c r="A283" i="2"/>
  <c r="B283" i="2"/>
  <c r="C283" i="2"/>
  <c r="D283" i="2"/>
  <c r="E283" i="2"/>
  <c r="F283" i="2"/>
  <c r="G283" i="2"/>
  <c r="H283" i="2"/>
  <c r="I283" i="2"/>
  <c r="L283" i="2"/>
  <c r="M283" i="2"/>
  <c r="N283" i="2"/>
  <c r="A284" i="2"/>
  <c r="B284" i="2"/>
  <c r="C284" i="2"/>
  <c r="D284" i="2"/>
  <c r="E284" i="2"/>
  <c r="F284" i="2"/>
  <c r="G284" i="2"/>
  <c r="H284" i="2"/>
  <c r="I284" i="2"/>
  <c r="L284" i="2"/>
  <c r="M284" i="2"/>
  <c r="N284" i="2"/>
  <c r="S284" i="2"/>
  <c r="A285" i="2"/>
  <c r="S285" i="2" s="1"/>
  <c r="B285" i="2"/>
  <c r="C285" i="2"/>
  <c r="D285" i="2"/>
  <c r="E285" i="2"/>
  <c r="F285" i="2"/>
  <c r="G285" i="2"/>
  <c r="H285" i="2"/>
  <c r="I285" i="2"/>
  <c r="L285" i="2"/>
  <c r="M285" i="2"/>
  <c r="N285" i="2"/>
  <c r="T285" i="2"/>
  <c r="A286" i="2"/>
  <c r="B286" i="2"/>
  <c r="C286" i="2"/>
  <c r="D286" i="2"/>
  <c r="E286" i="2"/>
  <c r="F286" i="2"/>
  <c r="G286" i="2"/>
  <c r="H286" i="2"/>
  <c r="I286" i="2"/>
  <c r="L286" i="2"/>
  <c r="M286" i="2"/>
  <c r="N286" i="2"/>
  <c r="U286" i="2"/>
  <c r="A287" i="2"/>
  <c r="B287" i="2"/>
  <c r="C287" i="2"/>
  <c r="D287" i="2"/>
  <c r="E287" i="2"/>
  <c r="F287" i="2"/>
  <c r="G287" i="2"/>
  <c r="H287" i="2"/>
  <c r="I287" i="2"/>
  <c r="L287" i="2"/>
  <c r="M287" i="2"/>
  <c r="N287" i="2"/>
  <c r="A288" i="2"/>
  <c r="U288" i="2" s="1"/>
  <c r="B288" i="2"/>
  <c r="C288" i="2"/>
  <c r="D288" i="2"/>
  <c r="E288" i="2"/>
  <c r="F288" i="2"/>
  <c r="G288" i="2"/>
  <c r="H288" i="2"/>
  <c r="I288" i="2"/>
  <c r="L288" i="2"/>
  <c r="M288" i="2"/>
  <c r="N288" i="2"/>
  <c r="S288" i="2"/>
  <c r="A289" i="2"/>
  <c r="S289" i="2" s="1"/>
  <c r="B289" i="2"/>
  <c r="C289" i="2"/>
  <c r="D289" i="2"/>
  <c r="E289" i="2"/>
  <c r="F289" i="2"/>
  <c r="G289" i="2"/>
  <c r="H289" i="2"/>
  <c r="I289" i="2"/>
  <c r="L289" i="2"/>
  <c r="M289" i="2"/>
  <c r="N289" i="2"/>
  <c r="A290" i="2"/>
  <c r="B290" i="2"/>
  <c r="C290" i="2"/>
  <c r="D290" i="2"/>
  <c r="E290" i="2"/>
  <c r="F290" i="2"/>
  <c r="G290" i="2"/>
  <c r="H290" i="2"/>
  <c r="I290" i="2"/>
  <c r="L290" i="2"/>
  <c r="M290" i="2"/>
  <c r="N290" i="2"/>
  <c r="A291" i="2"/>
  <c r="T291" i="2" s="1"/>
  <c r="B291" i="2"/>
  <c r="C291" i="2"/>
  <c r="D291" i="2"/>
  <c r="E291" i="2"/>
  <c r="F291" i="2"/>
  <c r="G291" i="2"/>
  <c r="H291" i="2"/>
  <c r="I291" i="2"/>
  <c r="L291" i="2"/>
  <c r="M291" i="2"/>
  <c r="N291" i="2"/>
  <c r="U291" i="2"/>
  <c r="A292" i="2"/>
  <c r="B292" i="2"/>
  <c r="C292" i="2"/>
  <c r="D292" i="2"/>
  <c r="E292" i="2"/>
  <c r="F292" i="2"/>
  <c r="G292" i="2"/>
  <c r="H292" i="2"/>
  <c r="I292" i="2"/>
  <c r="L292" i="2"/>
  <c r="M292" i="2"/>
  <c r="N292" i="2"/>
  <c r="A293" i="2"/>
  <c r="S293" i="2" s="1"/>
  <c r="B293" i="2"/>
  <c r="C293" i="2"/>
  <c r="D293" i="2"/>
  <c r="E293" i="2"/>
  <c r="F293" i="2"/>
  <c r="G293" i="2"/>
  <c r="H293" i="2"/>
  <c r="I293" i="2"/>
  <c r="L293" i="2"/>
  <c r="M293" i="2"/>
  <c r="N293" i="2"/>
  <c r="A294" i="2"/>
  <c r="B294" i="2"/>
  <c r="C294" i="2"/>
  <c r="D294" i="2"/>
  <c r="E294" i="2"/>
  <c r="F294" i="2"/>
  <c r="G294" i="2"/>
  <c r="H294" i="2"/>
  <c r="I294" i="2"/>
  <c r="L294" i="2"/>
  <c r="M294" i="2"/>
  <c r="N294" i="2"/>
  <c r="T294" i="2"/>
  <c r="A295" i="2"/>
  <c r="S295" i="2" s="1"/>
  <c r="B295" i="2"/>
  <c r="C295" i="2"/>
  <c r="D295" i="2"/>
  <c r="E295" i="2"/>
  <c r="F295" i="2"/>
  <c r="G295" i="2"/>
  <c r="H295" i="2"/>
  <c r="I295" i="2"/>
  <c r="L295" i="2"/>
  <c r="M295" i="2"/>
  <c r="N295" i="2"/>
  <c r="A296" i="2"/>
  <c r="T296" i="2" s="1"/>
  <c r="B296" i="2"/>
  <c r="C296" i="2"/>
  <c r="D296" i="2"/>
  <c r="E296" i="2"/>
  <c r="F296" i="2"/>
  <c r="G296" i="2"/>
  <c r="H296" i="2"/>
  <c r="I296" i="2"/>
  <c r="L296" i="2"/>
  <c r="M296" i="2"/>
  <c r="N296" i="2"/>
  <c r="U296" i="2"/>
  <c r="A297" i="2"/>
  <c r="T297" i="2" s="1"/>
  <c r="B297" i="2"/>
  <c r="C297" i="2"/>
  <c r="D297" i="2"/>
  <c r="E297" i="2"/>
  <c r="F297" i="2"/>
  <c r="G297" i="2"/>
  <c r="H297" i="2"/>
  <c r="I297" i="2"/>
  <c r="L297" i="2"/>
  <c r="M297" i="2"/>
  <c r="N297" i="2"/>
  <c r="S297" i="2"/>
  <c r="A298" i="2"/>
  <c r="B298" i="2"/>
  <c r="C298" i="2"/>
  <c r="D298" i="2"/>
  <c r="E298" i="2"/>
  <c r="F298" i="2"/>
  <c r="G298" i="2"/>
  <c r="H298" i="2"/>
  <c r="I298" i="2"/>
  <c r="L298" i="2"/>
  <c r="M298" i="2"/>
  <c r="N298" i="2"/>
  <c r="A299" i="2"/>
  <c r="T299" i="2" s="1"/>
  <c r="B299" i="2"/>
  <c r="C299" i="2"/>
  <c r="D299" i="2"/>
  <c r="E299" i="2"/>
  <c r="F299" i="2"/>
  <c r="G299" i="2"/>
  <c r="H299" i="2"/>
  <c r="I299" i="2"/>
  <c r="L299" i="2"/>
  <c r="M299" i="2"/>
  <c r="N299" i="2"/>
  <c r="A300" i="2"/>
  <c r="T300" i="2" s="1"/>
  <c r="B300" i="2"/>
  <c r="C300" i="2"/>
  <c r="D300" i="2"/>
  <c r="E300" i="2"/>
  <c r="F300" i="2"/>
  <c r="G300" i="2"/>
  <c r="H300" i="2"/>
  <c r="I300" i="2"/>
  <c r="L300" i="2"/>
  <c r="M300" i="2"/>
  <c r="N300" i="2"/>
  <c r="S300" i="2"/>
  <c r="A301" i="2"/>
  <c r="T301" i="2" s="1"/>
  <c r="B301" i="2"/>
  <c r="C301" i="2"/>
  <c r="D301" i="2"/>
  <c r="E301" i="2"/>
  <c r="F301" i="2"/>
  <c r="G301" i="2"/>
  <c r="H301" i="2"/>
  <c r="I301" i="2"/>
  <c r="L301" i="2"/>
  <c r="M301" i="2"/>
  <c r="N301" i="2"/>
  <c r="S301" i="2"/>
  <c r="A302" i="2"/>
  <c r="B302" i="2"/>
  <c r="C302" i="2"/>
  <c r="D302" i="2"/>
  <c r="E302" i="2"/>
  <c r="F302" i="2"/>
  <c r="G302" i="2"/>
  <c r="H302" i="2"/>
  <c r="I302" i="2"/>
  <c r="L302" i="2"/>
  <c r="M302" i="2"/>
  <c r="N302" i="2"/>
  <c r="A303" i="2"/>
  <c r="T303" i="2" s="1"/>
  <c r="B303" i="2"/>
  <c r="C303" i="2"/>
  <c r="D303" i="2"/>
  <c r="E303" i="2"/>
  <c r="F303" i="2"/>
  <c r="G303" i="2"/>
  <c r="H303" i="2"/>
  <c r="I303" i="2"/>
  <c r="L303" i="2"/>
  <c r="M303" i="2"/>
  <c r="N303" i="2"/>
  <c r="S303" i="2"/>
  <c r="A304" i="2"/>
  <c r="T304" i="2" s="1"/>
  <c r="B304" i="2"/>
  <c r="C304" i="2"/>
  <c r="D304" i="2"/>
  <c r="E304" i="2"/>
  <c r="F304" i="2"/>
  <c r="G304" i="2"/>
  <c r="H304" i="2"/>
  <c r="I304" i="2"/>
  <c r="L304" i="2"/>
  <c r="M304" i="2"/>
  <c r="N304" i="2"/>
  <c r="S304" i="2"/>
  <c r="A305" i="2"/>
  <c r="U305" i="2" s="1"/>
  <c r="B305" i="2"/>
  <c r="C305" i="2"/>
  <c r="D305" i="2"/>
  <c r="E305" i="2"/>
  <c r="F305" i="2"/>
  <c r="G305" i="2"/>
  <c r="H305" i="2"/>
  <c r="I305" i="2"/>
  <c r="L305" i="2"/>
  <c r="M305" i="2"/>
  <c r="N305" i="2"/>
  <c r="S305" i="2"/>
  <c r="A306" i="2"/>
  <c r="S306" i="2" s="1"/>
  <c r="B306" i="2"/>
  <c r="C306" i="2"/>
  <c r="D306" i="2"/>
  <c r="E306" i="2"/>
  <c r="F306" i="2"/>
  <c r="G306" i="2"/>
  <c r="H306" i="2"/>
  <c r="I306" i="2"/>
  <c r="L306" i="2"/>
  <c r="M306" i="2"/>
  <c r="N306" i="2"/>
  <c r="T306" i="2"/>
  <c r="A307" i="2"/>
  <c r="T307" i="2" s="1"/>
  <c r="B307" i="2"/>
  <c r="C307" i="2"/>
  <c r="D307" i="2"/>
  <c r="E307" i="2"/>
  <c r="F307" i="2"/>
  <c r="G307" i="2"/>
  <c r="H307" i="2"/>
  <c r="I307" i="2"/>
  <c r="L307" i="2"/>
  <c r="M307" i="2"/>
  <c r="N307" i="2"/>
  <c r="A308" i="2"/>
  <c r="T308" i="2" s="1"/>
  <c r="B308" i="2"/>
  <c r="C308" i="2"/>
  <c r="D308" i="2"/>
  <c r="E308" i="2"/>
  <c r="F308" i="2"/>
  <c r="G308" i="2"/>
  <c r="H308" i="2"/>
  <c r="I308" i="2"/>
  <c r="L308" i="2"/>
  <c r="M308" i="2"/>
  <c r="N308" i="2"/>
  <c r="S308" i="2"/>
  <c r="A309" i="2"/>
  <c r="B309" i="2"/>
  <c r="C309" i="2"/>
  <c r="D309" i="2"/>
  <c r="E309" i="2"/>
  <c r="F309" i="2"/>
  <c r="G309" i="2"/>
  <c r="H309" i="2"/>
  <c r="I309" i="2"/>
  <c r="L309" i="2"/>
  <c r="M309" i="2"/>
  <c r="N309" i="2"/>
  <c r="A310" i="2"/>
  <c r="B310" i="2"/>
  <c r="C310" i="2"/>
  <c r="D310" i="2"/>
  <c r="E310" i="2"/>
  <c r="F310" i="2"/>
  <c r="G310" i="2"/>
  <c r="H310" i="2"/>
  <c r="I310" i="2"/>
  <c r="L310" i="2"/>
  <c r="M310" i="2"/>
  <c r="N310" i="2"/>
  <c r="A311" i="2"/>
  <c r="B311" i="2"/>
  <c r="C311" i="2"/>
  <c r="D311" i="2"/>
  <c r="E311" i="2"/>
  <c r="F311" i="2"/>
  <c r="G311" i="2"/>
  <c r="H311" i="2"/>
  <c r="I311" i="2"/>
  <c r="L311" i="2"/>
  <c r="M311" i="2"/>
  <c r="N311" i="2"/>
  <c r="S311" i="2"/>
  <c r="A312" i="2"/>
  <c r="U312" i="2" s="1"/>
  <c r="B312" i="2"/>
  <c r="C312" i="2"/>
  <c r="D312" i="2"/>
  <c r="E312" i="2"/>
  <c r="F312" i="2"/>
  <c r="G312" i="2"/>
  <c r="H312" i="2"/>
  <c r="I312" i="2"/>
  <c r="L312" i="2"/>
  <c r="M312" i="2"/>
  <c r="N312" i="2"/>
  <c r="S312" i="2"/>
  <c r="A313" i="2"/>
  <c r="S313" i="2" s="1"/>
  <c r="B313" i="2"/>
  <c r="C313" i="2"/>
  <c r="D313" i="2"/>
  <c r="E313" i="2"/>
  <c r="F313" i="2"/>
  <c r="G313" i="2"/>
  <c r="H313" i="2"/>
  <c r="I313" i="2"/>
  <c r="L313" i="2"/>
  <c r="M313" i="2"/>
  <c r="N313" i="2"/>
  <c r="T313" i="2"/>
  <c r="A314" i="2"/>
  <c r="S314" i="2" s="1"/>
  <c r="B314" i="2"/>
  <c r="C314" i="2"/>
  <c r="D314" i="2"/>
  <c r="E314" i="2"/>
  <c r="F314" i="2"/>
  <c r="G314" i="2"/>
  <c r="H314" i="2"/>
  <c r="I314" i="2"/>
  <c r="L314" i="2"/>
  <c r="M314" i="2"/>
  <c r="N314" i="2"/>
  <c r="T314" i="2"/>
  <c r="A315" i="2"/>
  <c r="U315" i="2" s="1"/>
  <c r="B315" i="2"/>
  <c r="C315" i="2"/>
  <c r="D315" i="2"/>
  <c r="E315" i="2"/>
  <c r="F315" i="2"/>
  <c r="G315" i="2"/>
  <c r="H315" i="2"/>
  <c r="I315" i="2"/>
  <c r="L315" i="2"/>
  <c r="M315" i="2"/>
  <c r="N315" i="2"/>
  <c r="A316" i="2"/>
  <c r="T316" i="2" s="1"/>
  <c r="B316" i="2"/>
  <c r="C316" i="2"/>
  <c r="D316" i="2"/>
  <c r="E316" i="2"/>
  <c r="F316" i="2"/>
  <c r="G316" i="2"/>
  <c r="H316" i="2"/>
  <c r="I316" i="2"/>
  <c r="L316" i="2"/>
  <c r="M316" i="2"/>
  <c r="N316" i="2"/>
  <c r="S316" i="2"/>
  <c r="A317" i="2"/>
  <c r="B317" i="2"/>
  <c r="C317" i="2"/>
  <c r="D317" i="2"/>
  <c r="E317" i="2"/>
  <c r="F317" i="2"/>
  <c r="G317" i="2"/>
  <c r="H317" i="2"/>
  <c r="I317" i="2"/>
  <c r="L317" i="2"/>
  <c r="M317" i="2"/>
  <c r="N317" i="2"/>
  <c r="A318" i="2"/>
  <c r="S318" i="2" s="1"/>
  <c r="B318" i="2"/>
  <c r="C318" i="2"/>
  <c r="D318" i="2"/>
  <c r="E318" i="2"/>
  <c r="F318" i="2"/>
  <c r="G318" i="2"/>
  <c r="H318" i="2"/>
  <c r="I318" i="2"/>
  <c r="L318" i="2"/>
  <c r="M318" i="2"/>
  <c r="N318" i="2"/>
  <c r="T318" i="2"/>
  <c r="A319" i="2"/>
  <c r="T319" i="2" s="1"/>
  <c r="B319" i="2"/>
  <c r="C319" i="2"/>
  <c r="D319" i="2"/>
  <c r="E319" i="2"/>
  <c r="F319" i="2"/>
  <c r="G319" i="2"/>
  <c r="H319" i="2"/>
  <c r="I319" i="2"/>
  <c r="L319" i="2"/>
  <c r="M319" i="2"/>
  <c r="N319" i="2"/>
  <c r="S319" i="2"/>
  <c r="A320" i="2"/>
  <c r="U320" i="2" s="1"/>
  <c r="B320" i="2"/>
  <c r="C320" i="2"/>
  <c r="D320" i="2"/>
  <c r="E320" i="2"/>
  <c r="F320" i="2"/>
  <c r="G320" i="2"/>
  <c r="H320" i="2"/>
  <c r="I320" i="2"/>
  <c r="L320" i="2"/>
  <c r="M320" i="2"/>
  <c r="N320" i="2"/>
  <c r="S320" i="2"/>
  <c r="A321" i="2"/>
  <c r="S321" i="2" s="1"/>
  <c r="B321" i="2"/>
  <c r="C321" i="2"/>
  <c r="D321" i="2"/>
  <c r="E321" i="2"/>
  <c r="F321" i="2"/>
  <c r="G321" i="2"/>
  <c r="H321" i="2"/>
  <c r="I321" i="2"/>
  <c r="L321" i="2"/>
  <c r="M321" i="2"/>
  <c r="N321" i="2"/>
  <c r="U321" i="2"/>
  <c r="A322" i="2"/>
  <c r="B322" i="2"/>
  <c r="C322" i="2"/>
  <c r="D322" i="2"/>
  <c r="E322" i="2"/>
  <c r="F322" i="2"/>
  <c r="G322" i="2"/>
  <c r="H322" i="2"/>
  <c r="I322" i="2"/>
  <c r="L322" i="2"/>
  <c r="M322" i="2"/>
  <c r="N322" i="2"/>
  <c r="A323" i="2"/>
  <c r="B323" i="2"/>
  <c r="C323" i="2"/>
  <c r="D323" i="2"/>
  <c r="E323" i="2"/>
  <c r="F323" i="2"/>
  <c r="G323" i="2"/>
  <c r="H323" i="2"/>
  <c r="I323" i="2"/>
  <c r="L323" i="2"/>
  <c r="M323" i="2"/>
  <c r="N323" i="2"/>
  <c r="A324" i="2"/>
  <c r="B324" i="2"/>
  <c r="C324" i="2"/>
  <c r="D324" i="2"/>
  <c r="E324" i="2"/>
  <c r="F324" i="2"/>
  <c r="G324" i="2"/>
  <c r="H324" i="2"/>
  <c r="I324" i="2"/>
  <c r="L324" i="2"/>
  <c r="M324" i="2"/>
  <c r="N324" i="2"/>
  <c r="T324" i="2"/>
  <c r="A325" i="2"/>
  <c r="T325" i="2" s="1"/>
  <c r="B325" i="2"/>
  <c r="C325" i="2"/>
  <c r="D325" i="2"/>
  <c r="E325" i="2"/>
  <c r="F325" i="2"/>
  <c r="G325" i="2"/>
  <c r="H325" i="2"/>
  <c r="I325" i="2"/>
  <c r="L325" i="2"/>
  <c r="M325" i="2"/>
  <c r="N325" i="2"/>
  <c r="A326" i="2"/>
  <c r="S326" i="2" s="1"/>
  <c r="B326" i="2"/>
  <c r="C326" i="2"/>
  <c r="D326" i="2"/>
  <c r="E326" i="2"/>
  <c r="F326" i="2"/>
  <c r="G326" i="2"/>
  <c r="H326" i="2"/>
  <c r="I326" i="2"/>
  <c r="L326" i="2"/>
  <c r="M326" i="2"/>
  <c r="N326" i="2"/>
  <c r="A327" i="2"/>
  <c r="T327" i="2" s="1"/>
  <c r="B327" i="2"/>
  <c r="C327" i="2"/>
  <c r="D327" i="2"/>
  <c r="E327" i="2"/>
  <c r="F327" i="2"/>
  <c r="G327" i="2"/>
  <c r="H327" i="2"/>
  <c r="I327" i="2"/>
  <c r="L327" i="2"/>
  <c r="M327" i="2"/>
  <c r="N327" i="2"/>
  <c r="A328" i="2"/>
  <c r="B328" i="2"/>
  <c r="C328" i="2"/>
  <c r="D328" i="2"/>
  <c r="E328" i="2"/>
  <c r="F328" i="2"/>
  <c r="G328" i="2"/>
  <c r="H328" i="2"/>
  <c r="I328" i="2"/>
  <c r="L328" i="2"/>
  <c r="M328" i="2"/>
  <c r="N328" i="2"/>
  <c r="T328" i="2"/>
  <c r="A329" i="2"/>
  <c r="S329" i="2" s="1"/>
  <c r="B329" i="2"/>
  <c r="C329" i="2"/>
  <c r="D329" i="2"/>
  <c r="E329" i="2"/>
  <c r="F329" i="2"/>
  <c r="G329" i="2"/>
  <c r="H329" i="2"/>
  <c r="I329" i="2"/>
  <c r="L329" i="2"/>
  <c r="M329" i="2"/>
  <c r="N329" i="2"/>
  <c r="A330" i="2"/>
  <c r="S330" i="2" s="1"/>
  <c r="B330" i="2"/>
  <c r="C330" i="2"/>
  <c r="D330" i="2"/>
  <c r="E330" i="2"/>
  <c r="F330" i="2"/>
  <c r="G330" i="2"/>
  <c r="H330" i="2"/>
  <c r="I330" i="2"/>
  <c r="L330" i="2"/>
  <c r="M330" i="2"/>
  <c r="N330" i="2"/>
  <c r="T330" i="2"/>
  <c r="A331" i="2"/>
  <c r="T331" i="2" s="1"/>
  <c r="B331" i="2"/>
  <c r="C331" i="2"/>
  <c r="D331" i="2"/>
  <c r="E331" i="2"/>
  <c r="F331" i="2"/>
  <c r="G331" i="2"/>
  <c r="H331" i="2"/>
  <c r="I331" i="2"/>
  <c r="L331" i="2"/>
  <c r="M331" i="2"/>
  <c r="N331" i="2"/>
  <c r="S331" i="2"/>
  <c r="A332" i="2"/>
  <c r="U332" i="2" s="1"/>
  <c r="B332" i="2"/>
  <c r="C332" i="2"/>
  <c r="D332" i="2"/>
  <c r="E332" i="2"/>
  <c r="F332" i="2"/>
  <c r="G332" i="2"/>
  <c r="H332" i="2"/>
  <c r="I332" i="2"/>
  <c r="L332" i="2"/>
  <c r="M332" i="2"/>
  <c r="N332" i="2"/>
  <c r="S332" i="2"/>
  <c r="A333" i="2"/>
  <c r="B333" i="2"/>
  <c r="C333" i="2"/>
  <c r="D333" i="2"/>
  <c r="E333" i="2"/>
  <c r="F333" i="2"/>
  <c r="G333" i="2"/>
  <c r="H333" i="2"/>
  <c r="I333" i="2"/>
  <c r="L333" i="2"/>
  <c r="M333" i="2"/>
  <c r="N333" i="2"/>
  <c r="U333" i="2"/>
  <c r="A334" i="2"/>
  <c r="S334" i="2" s="1"/>
  <c r="B334" i="2"/>
  <c r="C334" i="2"/>
  <c r="D334" i="2"/>
  <c r="E334" i="2"/>
  <c r="F334" i="2"/>
  <c r="G334" i="2"/>
  <c r="H334" i="2"/>
  <c r="I334" i="2"/>
  <c r="L334" i="2"/>
  <c r="M334" i="2"/>
  <c r="N334" i="2"/>
  <c r="A335" i="2"/>
  <c r="T335" i="2" s="1"/>
  <c r="B335" i="2"/>
  <c r="C335" i="2"/>
  <c r="D335" i="2"/>
  <c r="E335" i="2"/>
  <c r="F335" i="2"/>
  <c r="G335" i="2"/>
  <c r="H335" i="2"/>
  <c r="I335" i="2"/>
  <c r="L335" i="2"/>
  <c r="M335" i="2"/>
  <c r="N335" i="2"/>
  <c r="A336" i="2"/>
  <c r="U336" i="2" s="1"/>
  <c r="B336" i="2"/>
  <c r="C336" i="2"/>
  <c r="D336" i="2"/>
  <c r="E336" i="2"/>
  <c r="F336" i="2"/>
  <c r="G336" i="2"/>
  <c r="H336" i="2"/>
  <c r="I336" i="2"/>
  <c r="L336" i="2"/>
  <c r="M336" i="2"/>
  <c r="N336" i="2"/>
  <c r="S336" i="2"/>
  <c r="A337" i="2"/>
  <c r="S337" i="2" s="1"/>
  <c r="B337" i="2"/>
  <c r="C337" i="2"/>
  <c r="D337" i="2"/>
  <c r="E337" i="2"/>
  <c r="F337" i="2"/>
  <c r="G337" i="2"/>
  <c r="H337" i="2"/>
  <c r="I337" i="2"/>
  <c r="L337" i="2"/>
  <c r="M337" i="2"/>
  <c r="N337" i="2"/>
  <c r="A338" i="2"/>
  <c r="S338" i="2" s="1"/>
  <c r="B338" i="2"/>
  <c r="C338" i="2"/>
  <c r="D338" i="2"/>
  <c r="E338" i="2"/>
  <c r="F338" i="2"/>
  <c r="G338" i="2"/>
  <c r="H338" i="2"/>
  <c r="I338" i="2"/>
  <c r="L338" i="2"/>
  <c r="M338" i="2"/>
  <c r="N338" i="2"/>
  <c r="T338" i="2"/>
  <c r="A339" i="2"/>
  <c r="B339" i="2"/>
  <c r="C339" i="2"/>
  <c r="D339" i="2"/>
  <c r="E339" i="2"/>
  <c r="F339" i="2"/>
  <c r="G339" i="2"/>
  <c r="H339" i="2"/>
  <c r="I339" i="2"/>
  <c r="L339" i="2"/>
  <c r="M339" i="2"/>
  <c r="N339" i="2"/>
  <c r="S339" i="2"/>
  <c r="A340" i="2"/>
  <c r="B340" i="2"/>
  <c r="C340" i="2"/>
  <c r="D340" i="2"/>
  <c r="E340" i="2"/>
  <c r="F340" i="2"/>
  <c r="G340" i="2"/>
  <c r="H340" i="2"/>
  <c r="I340" i="2"/>
  <c r="L340" i="2"/>
  <c r="M340" i="2"/>
  <c r="N340" i="2"/>
  <c r="U340" i="2"/>
  <c r="A341" i="2"/>
  <c r="B341" i="2"/>
  <c r="C341" i="2"/>
  <c r="D341" i="2"/>
  <c r="E341" i="2"/>
  <c r="F341" i="2"/>
  <c r="G341" i="2"/>
  <c r="H341" i="2"/>
  <c r="I341" i="2"/>
  <c r="L341" i="2"/>
  <c r="M341" i="2"/>
  <c r="N341" i="2"/>
  <c r="T341" i="2"/>
  <c r="A342" i="2"/>
  <c r="S342" i="2" s="1"/>
  <c r="B342" i="2"/>
  <c r="C342" i="2"/>
  <c r="D342" i="2"/>
  <c r="E342" i="2"/>
  <c r="F342" i="2"/>
  <c r="G342" i="2"/>
  <c r="H342" i="2"/>
  <c r="I342" i="2"/>
  <c r="L342" i="2"/>
  <c r="M342" i="2"/>
  <c r="N342" i="2"/>
  <c r="A343" i="2"/>
  <c r="T343" i="2" s="1"/>
  <c r="B343" i="2"/>
  <c r="C343" i="2"/>
  <c r="D343" i="2"/>
  <c r="E343" i="2"/>
  <c r="F343" i="2"/>
  <c r="G343" i="2"/>
  <c r="H343" i="2"/>
  <c r="I343" i="2"/>
  <c r="L343" i="2"/>
  <c r="M343" i="2"/>
  <c r="N343" i="2"/>
  <c r="A344" i="2"/>
  <c r="U344" i="2" s="1"/>
  <c r="B344" i="2"/>
  <c r="C344" i="2"/>
  <c r="D344" i="2"/>
  <c r="E344" i="2"/>
  <c r="F344" i="2"/>
  <c r="G344" i="2"/>
  <c r="H344" i="2"/>
  <c r="I344" i="2"/>
  <c r="L344" i="2"/>
  <c r="M344" i="2"/>
  <c r="N344" i="2"/>
  <c r="S344" i="2"/>
  <c r="A345" i="2"/>
  <c r="S345" i="2" s="1"/>
  <c r="B345" i="2"/>
  <c r="C345" i="2"/>
  <c r="D345" i="2"/>
  <c r="E345" i="2"/>
  <c r="F345" i="2"/>
  <c r="G345" i="2"/>
  <c r="H345" i="2"/>
  <c r="I345" i="2"/>
  <c r="L345" i="2"/>
  <c r="M345" i="2"/>
  <c r="N345" i="2"/>
  <c r="A346" i="2"/>
  <c r="B346" i="2"/>
  <c r="C346" i="2"/>
  <c r="D346" i="2"/>
  <c r="E346" i="2"/>
  <c r="F346" i="2"/>
  <c r="G346" i="2"/>
  <c r="H346" i="2"/>
  <c r="I346" i="2"/>
  <c r="L346" i="2"/>
  <c r="M346" i="2"/>
  <c r="N346" i="2"/>
  <c r="A347" i="2"/>
  <c r="T347" i="2" s="1"/>
  <c r="B347" i="2"/>
  <c r="C347" i="2"/>
  <c r="D347" i="2"/>
  <c r="E347" i="2"/>
  <c r="F347" i="2"/>
  <c r="G347" i="2"/>
  <c r="H347" i="2"/>
  <c r="I347" i="2"/>
  <c r="L347" i="2"/>
  <c r="M347" i="2"/>
  <c r="N347" i="2"/>
  <c r="S347" i="2"/>
  <c r="A348" i="2"/>
  <c r="T348" i="2" s="1"/>
  <c r="B348" i="2"/>
  <c r="C348" i="2"/>
  <c r="D348" i="2"/>
  <c r="E348" i="2"/>
  <c r="F348" i="2"/>
  <c r="G348" i="2"/>
  <c r="H348" i="2"/>
  <c r="I348" i="2"/>
  <c r="L348" i="2"/>
  <c r="M348" i="2"/>
  <c r="N348" i="2"/>
  <c r="S348" i="2"/>
  <c r="A349" i="2"/>
  <c r="B349" i="2"/>
  <c r="C349" i="2"/>
  <c r="D349" i="2"/>
  <c r="E349" i="2"/>
  <c r="F349" i="2"/>
  <c r="G349" i="2"/>
  <c r="H349" i="2"/>
  <c r="I349" i="2"/>
  <c r="L349" i="2"/>
  <c r="M349" i="2"/>
  <c r="N349" i="2"/>
  <c r="S349" i="2"/>
  <c r="A350" i="2"/>
  <c r="S350" i="2" s="1"/>
  <c r="B350" i="2"/>
  <c r="C350" i="2"/>
  <c r="D350" i="2"/>
  <c r="E350" i="2"/>
  <c r="F350" i="2"/>
  <c r="G350" i="2"/>
  <c r="H350" i="2"/>
  <c r="I350" i="2"/>
  <c r="L350" i="2"/>
  <c r="M350" i="2"/>
  <c r="N350" i="2"/>
  <c r="A351" i="2"/>
  <c r="T351" i="2" s="1"/>
  <c r="B351" i="2"/>
  <c r="C351" i="2"/>
  <c r="D351" i="2"/>
  <c r="E351" i="2"/>
  <c r="F351" i="2"/>
  <c r="G351" i="2"/>
  <c r="H351" i="2"/>
  <c r="I351" i="2"/>
  <c r="L351" i="2"/>
  <c r="M351" i="2"/>
  <c r="N351" i="2"/>
  <c r="A352" i="2"/>
  <c r="B352" i="2"/>
  <c r="C352" i="2"/>
  <c r="D352" i="2"/>
  <c r="E352" i="2"/>
  <c r="F352" i="2"/>
  <c r="G352" i="2"/>
  <c r="H352" i="2"/>
  <c r="I352" i="2"/>
  <c r="L352" i="2"/>
  <c r="M352" i="2"/>
  <c r="N352" i="2"/>
  <c r="S352" i="2"/>
  <c r="A353" i="2"/>
  <c r="S353" i="2" s="1"/>
  <c r="B353" i="2"/>
  <c r="C353" i="2"/>
  <c r="D353" i="2"/>
  <c r="E353" i="2"/>
  <c r="F353" i="2"/>
  <c r="G353" i="2"/>
  <c r="H353" i="2"/>
  <c r="I353" i="2"/>
  <c r="L353" i="2"/>
  <c r="M353" i="2"/>
  <c r="N353" i="2"/>
  <c r="A354" i="2"/>
  <c r="S354" i="2" s="1"/>
  <c r="B354" i="2"/>
  <c r="C354" i="2"/>
  <c r="D354" i="2"/>
  <c r="E354" i="2"/>
  <c r="F354" i="2"/>
  <c r="G354" i="2"/>
  <c r="H354" i="2"/>
  <c r="I354" i="2"/>
  <c r="L354" i="2"/>
  <c r="M354" i="2"/>
  <c r="N354" i="2"/>
  <c r="T354" i="2"/>
  <c r="A355" i="2"/>
  <c r="T355" i="2" s="1"/>
  <c r="B355" i="2"/>
  <c r="C355" i="2"/>
  <c r="D355" i="2"/>
  <c r="E355" i="2"/>
  <c r="F355" i="2"/>
  <c r="G355" i="2"/>
  <c r="H355" i="2"/>
  <c r="I355" i="2"/>
  <c r="L355" i="2"/>
  <c r="M355" i="2"/>
  <c r="N355" i="2"/>
  <c r="S355" i="2"/>
  <c r="A356" i="2"/>
  <c r="U356" i="2" s="1"/>
  <c r="B356" i="2"/>
  <c r="C356" i="2"/>
  <c r="D356" i="2"/>
  <c r="E356" i="2"/>
  <c r="F356" i="2"/>
  <c r="G356" i="2"/>
  <c r="H356" i="2"/>
  <c r="I356" i="2"/>
  <c r="L356" i="2"/>
  <c r="M356" i="2"/>
  <c r="N356" i="2"/>
  <c r="A357" i="2"/>
  <c r="B357" i="2"/>
  <c r="C357" i="2"/>
  <c r="D357" i="2"/>
  <c r="E357" i="2"/>
  <c r="F357" i="2"/>
  <c r="G357" i="2"/>
  <c r="H357" i="2"/>
  <c r="I357" i="2"/>
  <c r="L357" i="2"/>
  <c r="M357" i="2"/>
  <c r="N357" i="2"/>
  <c r="S357" i="2"/>
  <c r="A358" i="2"/>
  <c r="S358" i="2" s="1"/>
  <c r="B358" i="2"/>
  <c r="C358" i="2"/>
  <c r="D358" i="2"/>
  <c r="E358" i="2"/>
  <c r="F358" i="2"/>
  <c r="G358" i="2"/>
  <c r="H358" i="2"/>
  <c r="I358" i="2"/>
  <c r="L358" i="2"/>
  <c r="M358" i="2"/>
  <c r="N358" i="2"/>
  <c r="A359" i="2"/>
  <c r="T359" i="2" s="1"/>
  <c r="B359" i="2"/>
  <c r="C359" i="2"/>
  <c r="D359" i="2"/>
  <c r="E359" i="2"/>
  <c r="F359" i="2"/>
  <c r="G359" i="2"/>
  <c r="H359" i="2"/>
  <c r="I359" i="2"/>
  <c r="L359" i="2"/>
  <c r="M359" i="2"/>
  <c r="N359" i="2"/>
  <c r="A360" i="2"/>
  <c r="U360" i="2" s="1"/>
  <c r="B360" i="2"/>
  <c r="C360" i="2"/>
  <c r="D360" i="2"/>
  <c r="E360" i="2"/>
  <c r="F360" i="2"/>
  <c r="G360" i="2"/>
  <c r="H360" i="2"/>
  <c r="I360" i="2"/>
  <c r="L360" i="2"/>
  <c r="M360" i="2"/>
  <c r="N360" i="2"/>
  <c r="S360" i="2"/>
  <c r="A361" i="2"/>
  <c r="S361" i="2" s="1"/>
  <c r="B361" i="2"/>
  <c r="C361" i="2"/>
  <c r="D361" i="2"/>
  <c r="E361" i="2"/>
  <c r="F361" i="2"/>
  <c r="G361" i="2"/>
  <c r="H361" i="2"/>
  <c r="I361" i="2"/>
  <c r="L361" i="2"/>
  <c r="M361" i="2"/>
  <c r="N361" i="2"/>
  <c r="A362" i="2"/>
  <c r="B362" i="2"/>
  <c r="C362" i="2"/>
  <c r="D362" i="2"/>
  <c r="E362" i="2"/>
  <c r="F362" i="2"/>
  <c r="G362" i="2"/>
  <c r="H362" i="2"/>
  <c r="I362" i="2"/>
  <c r="L362" i="2"/>
  <c r="M362" i="2"/>
  <c r="N362" i="2"/>
  <c r="T362" i="2"/>
  <c r="A363" i="2"/>
  <c r="B363" i="2"/>
  <c r="C363" i="2"/>
  <c r="D363" i="2"/>
  <c r="E363" i="2"/>
  <c r="F363" i="2"/>
  <c r="G363" i="2"/>
  <c r="H363" i="2"/>
  <c r="I363" i="2"/>
  <c r="L363" i="2"/>
  <c r="M363" i="2"/>
  <c r="N363" i="2"/>
  <c r="A364" i="2"/>
  <c r="B364" i="2"/>
  <c r="C364" i="2"/>
  <c r="D364" i="2"/>
  <c r="E364" i="2"/>
  <c r="F364" i="2"/>
  <c r="G364" i="2"/>
  <c r="H364" i="2"/>
  <c r="I364" i="2"/>
  <c r="L364" i="2"/>
  <c r="M364" i="2"/>
  <c r="N364" i="2"/>
  <c r="U364" i="2"/>
  <c r="A365" i="2"/>
  <c r="B365" i="2"/>
  <c r="C365" i="2"/>
  <c r="D365" i="2"/>
  <c r="E365" i="2"/>
  <c r="F365" i="2"/>
  <c r="G365" i="2"/>
  <c r="H365" i="2"/>
  <c r="I365" i="2"/>
  <c r="L365" i="2"/>
  <c r="M365" i="2"/>
  <c r="N365" i="2"/>
  <c r="S365" i="2"/>
  <c r="A366" i="2"/>
  <c r="S366" i="2" s="1"/>
  <c r="B366" i="2"/>
  <c r="C366" i="2"/>
  <c r="D366" i="2"/>
  <c r="E366" i="2"/>
  <c r="F366" i="2"/>
  <c r="G366" i="2"/>
  <c r="H366" i="2"/>
  <c r="I366" i="2"/>
  <c r="L366" i="2"/>
  <c r="M366" i="2"/>
  <c r="N366" i="2"/>
  <c r="A367" i="2"/>
  <c r="T367" i="2" s="1"/>
  <c r="B367" i="2"/>
  <c r="C367" i="2"/>
  <c r="D367" i="2"/>
  <c r="E367" i="2"/>
  <c r="F367" i="2"/>
  <c r="G367" i="2"/>
  <c r="H367" i="2"/>
  <c r="I367" i="2"/>
  <c r="L367" i="2"/>
  <c r="M367" i="2"/>
  <c r="N367" i="2"/>
  <c r="A368" i="2"/>
  <c r="T368" i="2" s="1"/>
  <c r="B368" i="2"/>
  <c r="C368" i="2"/>
  <c r="D368" i="2"/>
  <c r="E368" i="2"/>
  <c r="F368" i="2"/>
  <c r="G368" i="2"/>
  <c r="H368" i="2"/>
  <c r="I368" i="2"/>
  <c r="L368" i="2"/>
  <c r="M368" i="2"/>
  <c r="N368" i="2"/>
  <c r="S368" i="2"/>
  <c r="A369" i="2"/>
  <c r="S369" i="2" s="1"/>
  <c r="B369" i="2"/>
  <c r="C369" i="2"/>
  <c r="D369" i="2"/>
  <c r="E369" i="2"/>
  <c r="F369" i="2"/>
  <c r="G369" i="2"/>
  <c r="H369" i="2"/>
  <c r="I369" i="2"/>
  <c r="L369" i="2"/>
  <c r="M369" i="2"/>
  <c r="N369" i="2"/>
  <c r="A370" i="2"/>
  <c r="S370" i="2" s="1"/>
  <c r="B370" i="2"/>
  <c r="C370" i="2"/>
  <c r="D370" i="2"/>
  <c r="E370" i="2"/>
  <c r="F370" i="2"/>
  <c r="G370" i="2"/>
  <c r="H370" i="2"/>
  <c r="I370" i="2"/>
  <c r="L370" i="2"/>
  <c r="M370" i="2"/>
  <c r="N370" i="2"/>
  <c r="T370" i="2"/>
  <c r="U370" i="2"/>
  <c r="A371" i="2"/>
  <c r="T371" i="2" s="1"/>
  <c r="B371" i="2"/>
  <c r="C371" i="2"/>
  <c r="D371" i="2"/>
  <c r="E371" i="2"/>
  <c r="F371" i="2"/>
  <c r="G371" i="2"/>
  <c r="H371" i="2"/>
  <c r="I371" i="2"/>
  <c r="L371" i="2"/>
  <c r="M371" i="2"/>
  <c r="N371" i="2"/>
  <c r="S371" i="2"/>
  <c r="A372" i="2"/>
  <c r="B372" i="2"/>
  <c r="C372" i="2"/>
  <c r="D372" i="2"/>
  <c r="E372" i="2"/>
  <c r="F372" i="2"/>
  <c r="G372" i="2"/>
  <c r="H372" i="2"/>
  <c r="I372" i="2"/>
  <c r="L372" i="2"/>
  <c r="M372" i="2"/>
  <c r="N372" i="2"/>
  <c r="S372" i="2"/>
  <c r="A373" i="2"/>
  <c r="U373" i="2" s="1"/>
  <c r="B373" i="2"/>
  <c r="C373" i="2"/>
  <c r="D373" i="2"/>
  <c r="E373" i="2"/>
  <c r="F373" i="2"/>
  <c r="G373" i="2"/>
  <c r="H373" i="2"/>
  <c r="I373" i="2"/>
  <c r="L373" i="2"/>
  <c r="M373" i="2"/>
  <c r="N373" i="2"/>
  <c r="S373" i="2"/>
  <c r="A374" i="2"/>
  <c r="S374" i="2" s="1"/>
  <c r="B374" i="2"/>
  <c r="C374" i="2"/>
  <c r="D374" i="2"/>
  <c r="E374" i="2"/>
  <c r="F374" i="2"/>
  <c r="G374" i="2"/>
  <c r="H374" i="2"/>
  <c r="I374" i="2"/>
  <c r="L374" i="2"/>
  <c r="M374" i="2"/>
  <c r="N374" i="2"/>
  <c r="A375" i="2"/>
  <c r="T375" i="2" s="1"/>
  <c r="B375" i="2"/>
  <c r="C375" i="2"/>
  <c r="D375" i="2"/>
  <c r="E375" i="2"/>
  <c r="F375" i="2"/>
  <c r="G375" i="2"/>
  <c r="H375" i="2"/>
  <c r="I375" i="2"/>
  <c r="L375" i="2"/>
  <c r="M375" i="2"/>
  <c r="N375" i="2"/>
  <c r="A376" i="2"/>
  <c r="U376" i="2" s="1"/>
  <c r="B376" i="2"/>
  <c r="C376" i="2"/>
  <c r="D376" i="2"/>
  <c r="E376" i="2"/>
  <c r="F376" i="2"/>
  <c r="G376" i="2"/>
  <c r="H376" i="2"/>
  <c r="I376" i="2"/>
  <c r="L376" i="2"/>
  <c r="M376" i="2"/>
  <c r="N376" i="2"/>
  <c r="S376" i="2"/>
  <c r="A377" i="2"/>
  <c r="S377" i="2" s="1"/>
  <c r="B377" i="2"/>
  <c r="C377" i="2"/>
  <c r="D377" i="2"/>
  <c r="E377" i="2"/>
  <c r="F377" i="2"/>
  <c r="G377" i="2"/>
  <c r="H377" i="2"/>
  <c r="I377" i="2"/>
  <c r="L377" i="2"/>
  <c r="M377" i="2"/>
  <c r="N377" i="2"/>
  <c r="A378" i="2"/>
  <c r="B378" i="2"/>
  <c r="C378" i="2"/>
  <c r="D378" i="2"/>
  <c r="E378" i="2"/>
  <c r="F378" i="2"/>
  <c r="G378" i="2"/>
  <c r="H378" i="2"/>
  <c r="I378" i="2"/>
  <c r="L378" i="2"/>
  <c r="M378" i="2"/>
  <c r="N378" i="2"/>
  <c r="T378" i="2"/>
  <c r="A379" i="2"/>
  <c r="B379" i="2"/>
  <c r="C379" i="2"/>
  <c r="D379" i="2"/>
  <c r="E379" i="2"/>
  <c r="F379" i="2"/>
  <c r="G379" i="2"/>
  <c r="H379" i="2"/>
  <c r="I379" i="2"/>
  <c r="L379" i="2"/>
  <c r="M379" i="2"/>
  <c r="N379" i="2"/>
  <c r="S379" i="2"/>
  <c r="A380" i="2"/>
  <c r="S380" i="2" s="1"/>
  <c r="B380" i="2"/>
  <c r="C380" i="2"/>
  <c r="D380" i="2"/>
  <c r="E380" i="2"/>
  <c r="F380" i="2"/>
  <c r="G380" i="2"/>
  <c r="H380" i="2"/>
  <c r="I380" i="2"/>
  <c r="L380" i="2"/>
  <c r="M380" i="2"/>
  <c r="N380" i="2"/>
  <c r="A381" i="2"/>
  <c r="B381" i="2"/>
  <c r="C381" i="2"/>
  <c r="D381" i="2"/>
  <c r="E381" i="2"/>
  <c r="F381" i="2"/>
  <c r="G381" i="2"/>
  <c r="H381" i="2"/>
  <c r="I381" i="2"/>
  <c r="L381" i="2"/>
  <c r="M381" i="2"/>
  <c r="N381" i="2"/>
  <c r="A382" i="2"/>
  <c r="S382" i="2" s="1"/>
  <c r="B382" i="2"/>
  <c r="C382" i="2"/>
  <c r="D382" i="2"/>
  <c r="E382" i="2"/>
  <c r="F382" i="2"/>
  <c r="G382" i="2"/>
  <c r="H382" i="2"/>
  <c r="I382" i="2"/>
  <c r="L382" i="2"/>
  <c r="M382" i="2"/>
  <c r="N382" i="2"/>
  <c r="A383" i="2"/>
  <c r="T383" i="2" s="1"/>
  <c r="B383" i="2"/>
  <c r="C383" i="2"/>
  <c r="D383" i="2"/>
  <c r="E383" i="2"/>
  <c r="F383" i="2"/>
  <c r="G383" i="2"/>
  <c r="H383" i="2"/>
  <c r="I383" i="2"/>
  <c r="L383" i="2"/>
  <c r="M383" i="2"/>
  <c r="N383" i="2"/>
  <c r="A384" i="2"/>
  <c r="B384" i="2"/>
  <c r="C384" i="2"/>
  <c r="D384" i="2"/>
  <c r="E384" i="2"/>
  <c r="F384" i="2"/>
  <c r="G384" i="2"/>
  <c r="H384" i="2"/>
  <c r="I384" i="2"/>
  <c r="L384" i="2"/>
  <c r="M384" i="2"/>
  <c r="N384" i="2"/>
  <c r="A385" i="2"/>
  <c r="S385" i="2" s="1"/>
  <c r="B385" i="2"/>
  <c r="C385" i="2"/>
  <c r="D385" i="2"/>
  <c r="E385" i="2"/>
  <c r="F385" i="2"/>
  <c r="G385" i="2"/>
  <c r="H385" i="2"/>
  <c r="I385" i="2"/>
  <c r="L385" i="2"/>
  <c r="M385" i="2"/>
  <c r="N385" i="2"/>
  <c r="A386" i="2"/>
  <c r="B386" i="2"/>
  <c r="C386" i="2"/>
  <c r="D386" i="2"/>
  <c r="E386" i="2"/>
  <c r="F386" i="2"/>
  <c r="G386" i="2"/>
  <c r="H386" i="2"/>
  <c r="I386" i="2"/>
  <c r="L386" i="2"/>
  <c r="M386" i="2"/>
  <c r="N386" i="2"/>
  <c r="A387" i="2"/>
  <c r="B387" i="2"/>
  <c r="C387" i="2"/>
  <c r="D387" i="2"/>
  <c r="E387" i="2"/>
  <c r="F387" i="2"/>
  <c r="G387" i="2"/>
  <c r="H387" i="2"/>
  <c r="I387" i="2"/>
  <c r="L387" i="2"/>
  <c r="M387" i="2"/>
  <c r="N387" i="2"/>
  <c r="S387" i="2"/>
  <c r="A388" i="2"/>
  <c r="B388" i="2"/>
  <c r="C388" i="2"/>
  <c r="D388" i="2"/>
  <c r="E388" i="2"/>
  <c r="F388" i="2"/>
  <c r="G388" i="2"/>
  <c r="H388" i="2"/>
  <c r="I388" i="2"/>
  <c r="L388" i="2"/>
  <c r="M388" i="2"/>
  <c r="N388" i="2"/>
  <c r="S388" i="2"/>
  <c r="A389" i="2"/>
  <c r="T389" i="2" s="1"/>
  <c r="B389" i="2"/>
  <c r="C389" i="2"/>
  <c r="D389" i="2"/>
  <c r="E389" i="2"/>
  <c r="F389" i="2"/>
  <c r="G389" i="2"/>
  <c r="H389" i="2"/>
  <c r="I389" i="2"/>
  <c r="L389" i="2"/>
  <c r="M389" i="2"/>
  <c r="N389" i="2"/>
  <c r="A390" i="2"/>
  <c r="S390" i="2" s="1"/>
  <c r="B390" i="2"/>
  <c r="C390" i="2"/>
  <c r="D390" i="2"/>
  <c r="E390" i="2"/>
  <c r="F390" i="2"/>
  <c r="G390" i="2"/>
  <c r="H390" i="2"/>
  <c r="I390" i="2"/>
  <c r="L390" i="2"/>
  <c r="M390" i="2"/>
  <c r="N390" i="2"/>
  <c r="A391" i="2"/>
  <c r="T391" i="2" s="1"/>
  <c r="B391" i="2"/>
  <c r="C391" i="2"/>
  <c r="D391" i="2"/>
  <c r="E391" i="2"/>
  <c r="F391" i="2"/>
  <c r="G391" i="2"/>
  <c r="H391" i="2"/>
  <c r="I391" i="2"/>
  <c r="L391" i="2"/>
  <c r="M391" i="2"/>
  <c r="N391" i="2"/>
  <c r="A392" i="2"/>
  <c r="B392" i="2"/>
  <c r="C392" i="2"/>
  <c r="D392" i="2"/>
  <c r="E392" i="2"/>
  <c r="F392" i="2"/>
  <c r="G392" i="2"/>
  <c r="H392" i="2"/>
  <c r="I392" i="2"/>
  <c r="L392" i="2"/>
  <c r="M392" i="2"/>
  <c r="N392" i="2"/>
  <c r="S392" i="2"/>
  <c r="A393" i="2"/>
  <c r="S393" i="2" s="1"/>
  <c r="B393" i="2"/>
  <c r="C393" i="2"/>
  <c r="D393" i="2"/>
  <c r="E393" i="2"/>
  <c r="F393" i="2"/>
  <c r="G393" i="2"/>
  <c r="H393" i="2"/>
  <c r="I393" i="2"/>
  <c r="L393" i="2"/>
  <c r="M393" i="2"/>
  <c r="N393" i="2"/>
  <c r="A394" i="2"/>
  <c r="B394" i="2"/>
  <c r="C394" i="2"/>
  <c r="D394" i="2"/>
  <c r="E394" i="2"/>
  <c r="F394" i="2"/>
  <c r="G394" i="2"/>
  <c r="H394" i="2"/>
  <c r="I394" i="2"/>
  <c r="L394" i="2"/>
  <c r="M394" i="2"/>
  <c r="N394" i="2"/>
  <c r="A395" i="2"/>
  <c r="B395" i="2"/>
  <c r="C395" i="2"/>
  <c r="D395" i="2"/>
  <c r="E395" i="2"/>
  <c r="F395" i="2"/>
  <c r="G395" i="2"/>
  <c r="H395" i="2"/>
  <c r="I395" i="2"/>
  <c r="L395" i="2"/>
  <c r="M395" i="2"/>
  <c r="N395" i="2"/>
  <c r="A396" i="2"/>
  <c r="T396" i="2" s="1"/>
  <c r="B396" i="2"/>
  <c r="C396" i="2"/>
  <c r="D396" i="2"/>
  <c r="E396" i="2"/>
  <c r="F396" i="2"/>
  <c r="G396" i="2"/>
  <c r="H396" i="2"/>
  <c r="I396" i="2"/>
  <c r="L396" i="2"/>
  <c r="M396" i="2"/>
  <c r="N396" i="2"/>
  <c r="S396" i="2"/>
  <c r="A397" i="2"/>
  <c r="T397" i="2" s="1"/>
  <c r="B397" i="2"/>
  <c r="C397" i="2"/>
  <c r="D397" i="2"/>
  <c r="E397" i="2"/>
  <c r="F397" i="2"/>
  <c r="G397" i="2"/>
  <c r="H397" i="2"/>
  <c r="I397" i="2"/>
  <c r="L397" i="2"/>
  <c r="M397" i="2"/>
  <c r="N397" i="2"/>
  <c r="S397" i="2"/>
  <c r="A398" i="2"/>
  <c r="U398" i="2" s="1"/>
  <c r="B398" i="2"/>
  <c r="C398" i="2"/>
  <c r="D398" i="2"/>
  <c r="E398" i="2"/>
  <c r="F398" i="2"/>
  <c r="G398" i="2"/>
  <c r="H398" i="2"/>
  <c r="I398" i="2"/>
  <c r="L398" i="2"/>
  <c r="M398" i="2"/>
  <c r="N398" i="2"/>
  <c r="A399" i="2"/>
  <c r="S399" i="2" s="1"/>
  <c r="B399" i="2"/>
  <c r="C399" i="2"/>
  <c r="D399" i="2"/>
  <c r="E399" i="2"/>
  <c r="F399" i="2"/>
  <c r="G399" i="2"/>
  <c r="H399" i="2"/>
  <c r="I399" i="2"/>
  <c r="L399" i="2"/>
  <c r="M399" i="2"/>
  <c r="N399" i="2"/>
  <c r="U399" i="2"/>
  <c r="A400" i="2"/>
  <c r="U400" i="2" s="1"/>
  <c r="B400" i="2"/>
  <c r="C400" i="2"/>
  <c r="D400" i="2"/>
  <c r="E400" i="2"/>
  <c r="F400" i="2"/>
  <c r="G400" i="2"/>
  <c r="H400" i="2"/>
  <c r="I400" i="2"/>
  <c r="L400" i="2"/>
  <c r="M400" i="2"/>
  <c r="N400" i="2"/>
  <c r="S400" i="2"/>
  <c r="A401" i="2"/>
  <c r="T401" i="2" s="1"/>
  <c r="B401" i="2"/>
  <c r="C401" i="2"/>
  <c r="D401" i="2"/>
  <c r="E401" i="2"/>
  <c r="F401" i="2"/>
  <c r="G401" i="2"/>
  <c r="H401" i="2"/>
  <c r="I401" i="2"/>
  <c r="L401" i="2"/>
  <c r="M401" i="2"/>
  <c r="N401" i="2"/>
  <c r="S401" i="2"/>
  <c r="A402" i="2"/>
  <c r="S402" i="2" s="1"/>
  <c r="B402" i="2"/>
  <c r="C402" i="2"/>
  <c r="D402" i="2"/>
  <c r="E402" i="2"/>
  <c r="F402" i="2"/>
  <c r="G402" i="2"/>
  <c r="H402" i="2"/>
  <c r="I402" i="2"/>
  <c r="L402" i="2"/>
  <c r="M402" i="2"/>
  <c r="N402" i="2"/>
  <c r="A403" i="2"/>
  <c r="B403" i="2"/>
  <c r="C403" i="2"/>
  <c r="D403" i="2"/>
  <c r="E403" i="2"/>
  <c r="F403" i="2"/>
  <c r="G403" i="2"/>
  <c r="H403" i="2"/>
  <c r="I403" i="2"/>
  <c r="L403" i="2"/>
  <c r="M403" i="2"/>
  <c r="N403" i="2"/>
  <c r="A404" i="2"/>
  <c r="T404" i="2" s="1"/>
  <c r="B404" i="2"/>
  <c r="C404" i="2"/>
  <c r="D404" i="2"/>
  <c r="E404" i="2"/>
  <c r="F404" i="2"/>
  <c r="G404" i="2"/>
  <c r="H404" i="2"/>
  <c r="I404" i="2"/>
  <c r="L404" i="2"/>
  <c r="M404" i="2"/>
  <c r="N404" i="2"/>
  <c r="S404" i="2"/>
  <c r="U404" i="2"/>
  <c r="A405" i="2"/>
  <c r="B405" i="2"/>
  <c r="C405" i="2"/>
  <c r="D405" i="2"/>
  <c r="E405" i="2"/>
  <c r="F405" i="2"/>
  <c r="G405" i="2"/>
  <c r="H405" i="2"/>
  <c r="I405" i="2"/>
  <c r="L405" i="2"/>
  <c r="M405" i="2"/>
  <c r="N405" i="2"/>
  <c r="A406" i="2"/>
  <c r="S406" i="2" s="1"/>
  <c r="B406" i="2"/>
  <c r="C406" i="2"/>
  <c r="D406" i="2"/>
  <c r="E406" i="2"/>
  <c r="F406" i="2"/>
  <c r="G406" i="2"/>
  <c r="H406" i="2"/>
  <c r="I406" i="2"/>
  <c r="L406" i="2"/>
  <c r="M406" i="2"/>
  <c r="N406" i="2"/>
  <c r="U406" i="2"/>
  <c r="A407" i="2"/>
  <c r="S407" i="2" s="1"/>
  <c r="B407" i="2"/>
  <c r="C407" i="2"/>
  <c r="D407" i="2"/>
  <c r="E407" i="2"/>
  <c r="F407" i="2"/>
  <c r="G407" i="2"/>
  <c r="H407" i="2"/>
  <c r="I407" i="2"/>
  <c r="L407" i="2"/>
  <c r="M407" i="2"/>
  <c r="N407" i="2"/>
  <c r="U407" i="2"/>
  <c r="A408" i="2"/>
  <c r="U408" i="2" s="1"/>
  <c r="B408" i="2"/>
  <c r="C408" i="2"/>
  <c r="D408" i="2"/>
  <c r="E408" i="2"/>
  <c r="F408" i="2"/>
  <c r="G408" i="2"/>
  <c r="H408" i="2"/>
  <c r="I408" i="2"/>
  <c r="L408" i="2"/>
  <c r="M408" i="2"/>
  <c r="N408" i="2"/>
  <c r="S408" i="2"/>
  <c r="T408" i="2"/>
  <c r="A409" i="2"/>
  <c r="U409" i="2" s="1"/>
  <c r="B409" i="2"/>
  <c r="C409" i="2"/>
  <c r="D409" i="2"/>
  <c r="E409" i="2"/>
  <c r="F409" i="2"/>
  <c r="G409" i="2"/>
  <c r="H409" i="2"/>
  <c r="I409" i="2"/>
  <c r="L409" i="2"/>
  <c r="M409" i="2"/>
  <c r="N409" i="2"/>
  <c r="S409" i="2"/>
  <c r="A410" i="2"/>
  <c r="S410" i="2" s="1"/>
  <c r="B410" i="2"/>
  <c r="C410" i="2"/>
  <c r="D410" i="2"/>
  <c r="E410" i="2"/>
  <c r="F410" i="2"/>
  <c r="G410" i="2"/>
  <c r="H410" i="2"/>
  <c r="I410" i="2"/>
  <c r="L410" i="2"/>
  <c r="M410" i="2"/>
  <c r="N410" i="2"/>
  <c r="U410" i="2"/>
  <c r="A411" i="2"/>
  <c r="S411" i="2" s="1"/>
  <c r="B411" i="2"/>
  <c r="C411" i="2"/>
  <c r="D411" i="2"/>
  <c r="E411" i="2"/>
  <c r="F411" i="2"/>
  <c r="G411" i="2"/>
  <c r="H411" i="2"/>
  <c r="I411" i="2"/>
  <c r="L411" i="2"/>
  <c r="M411" i="2"/>
  <c r="N411" i="2"/>
  <c r="U411" i="2"/>
  <c r="A412" i="2"/>
  <c r="U412" i="2" s="1"/>
  <c r="B412" i="2"/>
  <c r="C412" i="2"/>
  <c r="D412" i="2"/>
  <c r="E412" i="2"/>
  <c r="F412" i="2"/>
  <c r="G412" i="2"/>
  <c r="H412" i="2"/>
  <c r="I412" i="2"/>
  <c r="L412" i="2"/>
  <c r="M412" i="2"/>
  <c r="N412" i="2"/>
  <c r="S412" i="2"/>
  <c r="A413" i="2"/>
  <c r="B413" i="2"/>
  <c r="C413" i="2"/>
  <c r="D413" i="2"/>
  <c r="E413" i="2"/>
  <c r="F413" i="2"/>
  <c r="G413" i="2"/>
  <c r="H413" i="2"/>
  <c r="I413" i="2"/>
  <c r="L413" i="2"/>
  <c r="M413" i="2"/>
  <c r="N413" i="2"/>
  <c r="A414" i="2"/>
  <c r="S414" i="2" s="1"/>
  <c r="B414" i="2"/>
  <c r="C414" i="2"/>
  <c r="D414" i="2"/>
  <c r="E414" i="2"/>
  <c r="F414" i="2"/>
  <c r="G414" i="2"/>
  <c r="H414" i="2"/>
  <c r="I414" i="2"/>
  <c r="L414" i="2"/>
  <c r="M414" i="2"/>
  <c r="N414" i="2"/>
  <c r="U414" i="2"/>
  <c r="A415" i="2"/>
  <c r="S415" i="2" s="1"/>
  <c r="B415" i="2"/>
  <c r="C415" i="2"/>
  <c r="D415" i="2"/>
  <c r="E415" i="2"/>
  <c r="F415" i="2"/>
  <c r="G415" i="2"/>
  <c r="H415" i="2"/>
  <c r="I415" i="2"/>
  <c r="L415" i="2"/>
  <c r="M415" i="2"/>
  <c r="N415" i="2"/>
  <c r="U415" i="2"/>
  <c r="A416" i="2"/>
  <c r="B416" i="2"/>
  <c r="C416" i="2"/>
  <c r="D416" i="2"/>
  <c r="E416" i="2"/>
  <c r="F416" i="2"/>
  <c r="G416" i="2"/>
  <c r="H416" i="2"/>
  <c r="I416" i="2"/>
  <c r="L416" i="2"/>
  <c r="M416" i="2"/>
  <c r="N416" i="2"/>
  <c r="A417" i="2"/>
  <c r="B417" i="2"/>
  <c r="C417" i="2"/>
  <c r="D417" i="2"/>
  <c r="E417" i="2"/>
  <c r="F417" i="2"/>
  <c r="G417" i="2"/>
  <c r="H417" i="2"/>
  <c r="I417" i="2"/>
  <c r="L417" i="2"/>
  <c r="M417" i="2"/>
  <c r="N417" i="2"/>
  <c r="T417" i="2"/>
  <c r="A418" i="2"/>
  <c r="S418" i="2" s="1"/>
  <c r="B418" i="2"/>
  <c r="C418" i="2"/>
  <c r="D418" i="2"/>
  <c r="E418" i="2"/>
  <c r="F418" i="2"/>
  <c r="G418" i="2"/>
  <c r="H418" i="2"/>
  <c r="I418" i="2"/>
  <c r="L418" i="2"/>
  <c r="M418" i="2"/>
  <c r="N418" i="2"/>
  <c r="U418" i="2"/>
  <c r="A419" i="2"/>
  <c r="S419" i="2" s="1"/>
  <c r="B419" i="2"/>
  <c r="C419" i="2"/>
  <c r="D419" i="2"/>
  <c r="E419" i="2"/>
  <c r="F419" i="2"/>
  <c r="G419" i="2"/>
  <c r="H419" i="2"/>
  <c r="I419" i="2"/>
  <c r="L419" i="2"/>
  <c r="M419" i="2"/>
  <c r="N419" i="2"/>
  <c r="U419" i="2"/>
  <c r="A420" i="2"/>
  <c r="U420" i="2" s="1"/>
  <c r="B420" i="2"/>
  <c r="C420" i="2"/>
  <c r="D420" i="2"/>
  <c r="E420" i="2"/>
  <c r="F420" i="2"/>
  <c r="G420" i="2"/>
  <c r="H420" i="2"/>
  <c r="I420" i="2"/>
  <c r="L420" i="2"/>
  <c r="M420" i="2"/>
  <c r="N420" i="2"/>
  <c r="S420" i="2"/>
  <c r="A421" i="2"/>
  <c r="B421" i="2"/>
  <c r="C421" i="2"/>
  <c r="D421" i="2"/>
  <c r="E421" i="2"/>
  <c r="F421" i="2"/>
  <c r="G421" i="2"/>
  <c r="H421" i="2"/>
  <c r="I421" i="2"/>
  <c r="L421" i="2"/>
  <c r="M421" i="2"/>
  <c r="N421" i="2"/>
  <c r="S421" i="2"/>
  <c r="A422" i="2"/>
  <c r="B422" i="2"/>
  <c r="C422" i="2"/>
  <c r="D422" i="2"/>
  <c r="E422" i="2"/>
  <c r="F422" i="2"/>
  <c r="G422" i="2"/>
  <c r="H422" i="2"/>
  <c r="I422" i="2"/>
  <c r="L422" i="2"/>
  <c r="M422" i="2"/>
  <c r="N422" i="2"/>
  <c r="A423" i="2"/>
  <c r="S423" i="2" s="1"/>
  <c r="B423" i="2"/>
  <c r="C423" i="2"/>
  <c r="D423" i="2"/>
  <c r="E423" i="2"/>
  <c r="F423" i="2"/>
  <c r="G423" i="2"/>
  <c r="H423" i="2"/>
  <c r="I423" i="2"/>
  <c r="L423" i="2"/>
  <c r="M423" i="2"/>
  <c r="N423" i="2"/>
  <c r="U423" i="2"/>
  <c r="A424" i="2"/>
  <c r="B424" i="2"/>
  <c r="C424" i="2"/>
  <c r="D424" i="2"/>
  <c r="E424" i="2"/>
  <c r="F424" i="2"/>
  <c r="G424" i="2"/>
  <c r="H424" i="2"/>
  <c r="I424" i="2"/>
  <c r="L424" i="2"/>
  <c r="M424" i="2"/>
  <c r="N424" i="2"/>
  <c r="S424" i="2"/>
  <c r="A425" i="2"/>
  <c r="T425" i="2" s="1"/>
  <c r="B425" i="2"/>
  <c r="C425" i="2"/>
  <c r="D425" i="2"/>
  <c r="E425" i="2"/>
  <c r="F425" i="2"/>
  <c r="G425" i="2"/>
  <c r="H425" i="2"/>
  <c r="I425" i="2"/>
  <c r="L425" i="2"/>
  <c r="M425" i="2"/>
  <c r="N425" i="2"/>
  <c r="S425" i="2"/>
  <c r="U425" i="2"/>
  <c r="A426" i="2"/>
  <c r="S426" i="2" s="1"/>
  <c r="B426" i="2"/>
  <c r="C426" i="2"/>
  <c r="D426" i="2"/>
  <c r="E426" i="2"/>
  <c r="F426" i="2"/>
  <c r="G426" i="2"/>
  <c r="H426" i="2"/>
  <c r="I426" i="2"/>
  <c r="L426" i="2"/>
  <c r="M426" i="2"/>
  <c r="N426" i="2"/>
  <c r="U426" i="2"/>
  <c r="A427" i="2"/>
  <c r="B427" i="2"/>
  <c r="C427" i="2"/>
  <c r="D427" i="2"/>
  <c r="E427" i="2"/>
  <c r="F427" i="2"/>
  <c r="G427" i="2"/>
  <c r="H427" i="2"/>
  <c r="I427" i="2"/>
  <c r="L427" i="2"/>
  <c r="M427" i="2"/>
  <c r="N427" i="2"/>
  <c r="A428" i="2"/>
  <c r="T428" i="2" s="1"/>
  <c r="B428" i="2"/>
  <c r="C428" i="2"/>
  <c r="D428" i="2"/>
  <c r="E428" i="2"/>
  <c r="F428" i="2"/>
  <c r="G428" i="2"/>
  <c r="H428" i="2"/>
  <c r="I428" i="2"/>
  <c r="L428" i="2"/>
  <c r="M428" i="2"/>
  <c r="N428" i="2"/>
  <c r="S428" i="2"/>
  <c r="A429" i="2"/>
  <c r="B429" i="2"/>
  <c r="C429" i="2"/>
  <c r="D429" i="2"/>
  <c r="E429" i="2"/>
  <c r="F429" i="2"/>
  <c r="G429" i="2"/>
  <c r="H429" i="2"/>
  <c r="I429" i="2"/>
  <c r="L429" i="2"/>
  <c r="M429" i="2"/>
  <c r="N429" i="2"/>
  <c r="S429" i="2"/>
  <c r="A430" i="2"/>
  <c r="B430" i="2"/>
  <c r="C430" i="2"/>
  <c r="D430" i="2"/>
  <c r="E430" i="2"/>
  <c r="F430" i="2"/>
  <c r="G430" i="2"/>
  <c r="H430" i="2"/>
  <c r="I430" i="2"/>
  <c r="L430" i="2"/>
  <c r="M430" i="2"/>
  <c r="N430" i="2"/>
  <c r="A431" i="2"/>
  <c r="S431" i="2" s="1"/>
  <c r="B431" i="2"/>
  <c r="C431" i="2"/>
  <c r="D431" i="2"/>
  <c r="E431" i="2"/>
  <c r="F431" i="2"/>
  <c r="G431" i="2"/>
  <c r="H431" i="2"/>
  <c r="I431" i="2"/>
  <c r="L431" i="2"/>
  <c r="M431" i="2"/>
  <c r="N431" i="2"/>
  <c r="U431" i="2"/>
  <c r="A432" i="2"/>
  <c r="U432" i="2" s="1"/>
  <c r="B432" i="2"/>
  <c r="C432" i="2"/>
  <c r="D432" i="2"/>
  <c r="E432" i="2"/>
  <c r="F432" i="2"/>
  <c r="G432" i="2"/>
  <c r="H432" i="2"/>
  <c r="I432" i="2"/>
  <c r="L432" i="2"/>
  <c r="M432" i="2"/>
  <c r="N432" i="2"/>
  <c r="S432" i="2"/>
  <c r="A433" i="2"/>
  <c r="T433" i="2" s="1"/>
  <c r="B433" i="2"/>
  <c r="C433" i="2"/>
  <c r="D433" i="2"/>
  <c r="E433" i="2"/>
  <c r="F433" i="2"/>
  <c r="G433" i="2"/>
  <c r="H433" i="2"/>
  <c r="I433" i="2"/>
  <c r="L433" i="2"/>
  <c r="M433" i="2"/>
  <c r="N433" i="2"/>
  <c r="S433" i="2"/>
  <c r="A434" i="2"/>
  <c r="S434" i="2" s="1"/>
  <c r="B434" i="2"/>
  <c r="C434" i="2"/>
  <c r="D434" i="2"/>
  <c r="E434" i="2"/>
  <c r="F434" i="2"/>
  <c r="G434" i="2"/>
  <c r="H434" i="2"/>
  <c r="I434" i="2"/>
  <c r="L434" i="2"/>
  <c r="M434" i="2"/>
  <c r="N434" i="2"/>
  <c r="U434" i="2"/>
  <c r="A435" i="2"/>
  <c r="B435" i="2"/>
  <c r="C435" i="2"/>
  <c r="D435" i="2"/>
  <c r="E435" i="2"/>
  <c r="F435" i="2"/>
  <c r="G435" i="2"/>
  <c r="H435" i="2"/>
  <c r="I435" i="2"/>
  <c r="L435" i="2"/>
  <c r="M435" i="2"/>
  <c r="N435" i="2"/>
  <c r="A436" i="2"/>
  <c r="U436" i="2" s="1"/>
  <c r="B436" i="2"/>
  <c r="C436" i="2"/>
  <c r="D436" i="2"/>
  <c r="E436" i="2"/>
  <c r="F436" i="2"/>
  <c r="G436" i="2"/>
  <c r="H436" i="2"/>
  <c r="I436" i="2"/>
  <c r="L436" i="2"/>
  <c r="M436" i="2"/>
  <c r="N436" i="2"/>
  <c r="S436" i="2"/>
  <c r="A437" i="2"/>
  <c r="B437" i="2"/>
  <c r="C437" i="2"/>
  <c r="D437" i="2"/>
  <c r="E437" i="2"/>
  <c r="F437" i="2"/>
  <c r="G437" i="2"/>
  <c r="H437" i="2"/>
  <c r="I437" i="2"/>
  <c r="L437" i="2"/>
  <c r="M437" i="2"/>
  <c r="N437" i="2"/>
  <c r="A438" i="2"/>
  <c r="S438" i="2" s="1"/>
  <c r="B438" i="2"/>
  <c r="C438" i="2"/>
  <c r="D438" i="2"/>
  <c r="E438" i="2"/>
  <c r="F438" i="2"/>
  <c r="G438" i="2"/>
  <c r="H438" i="2"/>
  <c r="I438" i="2"/>
  <c r="L438" i="2"/>
  <c r="M438" i="2"/>
  <c r="N438" i="2"/>
  <c r="U438" i="2"/>
  <c r="A439" i="2"/>
  <c r="S439" i="2" s="1"/>
  <c r="B439" i="2"/>
  <c r="C439" i="2"/>
  <c r="D439" i="2"/>
  <c r="E439" i="2"/>
  <c r="F439" i="2"/>
  <c r="G439" i="2"/>
  <c r="H439" i="2"/>
  <c r="I439" i="2"/>
  <c r="L439" i="2"/>
  <c r="M439" i="2"/>
  <c r="N439" i="2"/>
  <c r="U439" i="2"/>
  <c r="A440" i="2"/>
  <c r="B440" i="2"/>
  <c r="C440" i="2"/>
  <c r="D440" i="2"/>
  <c r="E440" i="2"/>
  <c r="F440" i="2"/>
  <c r="G440" i="2"/>
  <c r="H440" i="2"/>
  <c r="I440" i="2"/>
  <c r="L440" i="2"/>
  <c r="M440" i="2"/>
  <c r="N440" i="2"/>
  <c r="S440" i="2"/>
  <c r="A441" i="2"/>
  <c r="B441" i="2"/>
  <c r="C441" i="2"/>
  <c r="D441" i="2"/>
  <c r="E441" i="2"/>
  <c r="F441" i="2"/>
  <c r="G441" i="2"/>
  <c r="H441" i="2"/>
  <c r="I441" i="2"/>
  <c r="L441" i="2"/>
  <c r="M441" i="2"/>
  <c r="N441" i="2"/>
  <c r="S441" i="2"/>
  <c r="T441" i="2"/>
  <c r="U441" i="2"/>
  <c r="A442" i="2"/>
  <c r="S442" i="2" s="1"/>
  <c r="B442" i="2"/>
  <c r="C442" i="2"/>
  <c r="D442" i="2"/>
  <c r="E442" i="2"/>
  <c r="F442" i="2"/>
  <c r="G442" i="2"/>
  <c r="H442" i="2"/>
  <c r="I442" i="2"/>
  <c r="L442" i="2"/>
  <c r="M442" i="2"/>
  <c r="N442" i="2"/>
  <c r="U442" i="2"/>
  <c r="A443" i="2"/>
  <c r="B443" i="2"/>
  <c r="C443" i="2"/>
  <c r="D443" i="2"/>
  <c r="E443" i="2"/>
  <c r="F443" i="2"/>
  <c r="G443" i="2"/>
  <c r="H443" i="2"/>
  <c r="I443" i="2"/>
  <c r="L443" i="2"/>
  <c r="M443" i="2"/>
  <c r="N443" i="2"/>
  <c r="A444" i="2"/>
  <c r="T444" i="2" s="1"/>
  <c r="B444" i="2"/>
  <c r="C444" i="2"/>
  <c r="D444" i="2"/>
  <c r="E444" i="2"/>
  <c r="F444" i="2"/>
  <c r="G444" i="2"/>
  <c r="H444" i="2"/>
  <c r="I444" i="2"/>
  <c r="L444" i="2"/>
  <c r="M444" i="2"/>
  <c r="N444" i="2"/>
  <c r="S444" i="2"/>
  <c r="A445" i="2"/>
  <c r="B445" i="2"/>
  <c r="C445" i="2"/>
  <c r="D445" i="2"/>
  <c r="E445" i="2"/>
  <c r="F445" i="2"/>
  <c r="G445" i="2"/>
  <c r="H445" i="2"/>
  <c r="I445" i="2"/>
  <c r="L445" i="2"/>
  <c r="M445" i="2"/>
  <c r="N445" i="2"/>
  <c r="S445" i="2"/>
  <c r="A446" i="2"/>
  <c r="S446" i="2" s="1"/>
  <c r="B446" i="2"/>
  <c r="C446" i="2"/>
  <c r="D446" i="2"/>
  <c r="E446" i="2"/>
  <c r="F446" i="2"/>
  <c r="G446" i="2"/>
  <c r="H446" i="2"/>
  <c r="I446" i="2"/>
  <c r="L446" i="2"/>
  <c r="M446" i="2"/>
  <c r="N446" i="2"/>
  <c r="U446" i="2"/>
  <c r="A447" i="2"/>
  <c r="S447" i="2" s="1"/>
  <c r="B447" i="2"/>
  <c r="C447" i="2"/>
  <c r="D447" i="2"/>
  <c r="E447" i="2"/>
  <c r="F447" i="2"/>
  <c r="G447" i="2"/>
  <c r="H447" i="2"/>
  <c r="I447" i="2"/>
  <c r="L447" i="2"/>
  <c r="M447" i="2"/>
  <c r="N447" i="2"/>
  <c r="U447" i="2"/>
  <c r="A448" i="2"/>
  <c r="B448" i="2"/>
  <c r="C448" i="2"/>
  <c r="D448" i="2"/>
  <c r="E448" i="2"/>
  <c r="F448" i="2"/>
  <c r="G448" i="2"/>
  <c r="H448" i="2"/>
  <c r="I448" i="2"/>
  <c r="L448" i="2"/>
  <c r="M448" i="2"/>
  <c r="N448" i="2"/>
  <c r="A449" i="2"/>
  <c r="S449" i="2" s="1"/>
  <c r="B449" i="2"/>
  <c r="C449" i="2"/>
  <c r="D449" i="2"/>
  <c r="E449" i="2"/>
  <c r="F449" i="2"/>
  <c r="G449" i="2"/>
  <c r="H449" i="2"/>
  <c r="I449" i="2"/>
  <c r="L449" i="2"/>
  <c r="M449" i="2"/>
  <c r="N449" i="2"/>
  <c r="T449" i="2"/>
  <c r="A450" i="2"/>
  <c r="S450" i="2" s="1"/>
  <c r="B450" i="2"/>
  <c r="C450" i="2"/>
  <c r="D450" i="2"/>
  <c r="E450" i="2"/>
  <c r="F450" i="2"/>
  <c r="G450" i="2"/>
  <c r="H450" i="2"/>
  <c r="I450" i="2"/>
  <c r="L450" i="2"/>
  <c r="M450" i="2"/>
  <c r="N450" i="2"/>
  <c r="U450" i="2"/>
  <c r="A451" i="2"/>
  <c r="S451" i="2" s="1"/>
  <c r="B451" i="2"/>
  <c r="C451" i="2"/>
  <c r="D451" i="2"/>
  <c r="E451" i="2"/>
  <c r="F451" i="2"/>
  <c r="G451" i="2"/>
  <c r="H451" i="2"/>
  <c r="I451" i="2"/>
  <c r="L451" i="2"/>
  <c r="M451" i="2"/>
  <c r="N451" i="2"/>
  <c r="U451" i="2"/>
  <c r="A452" i="2"/>
  <c r="T452" i="2" s="1"/>
  <c r="B452" i="2"/>
  <c r="C452" i="2"/>
  <c r="D452" i="2"/>
  <c r="E452" i="2"/>
  <c r="F452" i="2"/>
  <c r="G452" i="2"/>
  <c r="H452" i="2"/>
  <c r="I452" i="2"/>
  <c r="L452" i="2"/>
  <c r="M452" i="2"/>
  <c r="N452" i="2"/>
  <c r="S452" i="2"/>
  <c r="A453" i="2"/>
  <c r="B453" i="2"/>
  <c r="C453" i="2"/>
  <c r="D453" i="2"/>
  <c r="E453" i="2"/>
  <c r="F453" i="2"/>
  <c r="G453" i="2"/>
  <c r="H453" i="2"/>
  <c r="I453" i="2"/>
  <c r="L453" i="2"/>
  <c r="M453" i="2"/>
  <c r="N453" i="2"/>
  <c r="S453" i="2"/>
  <c r="A454" i="2"/>
  <c r="B454" i="2"/>
  <c r="C454" i="2"/>
  <c r="D454" i="2"/>
  <c r="E454" i="2"/>
  <c r="F454" i="2"/>
  <c r="G454" i="2"/>
  <c r="H454" i="2"/>
  <c r="I454" i="2"/>
  <c r="L454" i="2"/>
  <c r="M454" i="2"/>
  <c r="N454" i="2"/>
  <c r="A455" i="2"/>
  <c r="S455" i="2" s="1"/>
  <c r="B455" i="2"/>
  <c r="C455" i="2"/>
  <c r="D455" i="2"/>
  <c r="E455" i="2"/>
  <c r="F455" i="2"/>
  <c r="G455" i="2"/>
  <c r="H455" i="2"/>
  <c r="I455" i="2"/>
  <c r="L455" i="2"/>
  <c r="M455" i="2"/>
  <c r="N455" i="2"/>
  <c r="A456" i="2"/>
  <c r="B456" i="2"/>
  <c r="C456" i="2"/>
  <c r="D456" i="2"/>
  <c r="E456" i="2"/>
  <c r="F456" i="2"/>
  <c r="G456" i="2"/>
  <c r="H456" i="2"/>
  <c r="I456" i="2"/>
  <c r="L456" i="2"/>
  <c r="M456" i="2"/>
  <c r="N456" i="2"/>
  <c r="A457" i="2"/>
  <c r="T457" i="2" s="1"/>
  <c r="B457" i="2"/>
  <c r="C457" i="2"/>
  <c r="D457" i="2"/>
  <c r="E457" i="2"/>
  <c r="F457" i="2"/>
  <c r="G457" i="2"/>
  <c r="H457" i="2"/>
  <c r="I457" i="2"/>
  <c r="L457" i="2"/>
  <c r="M457" i="2"/>
  <c r="N457" i="2"/>
  <c r="S457" i="2"/>
  <c r="U457" i="2"/>
  <c r="A458" i="2"/>
  <c r="S458" i="2" s="1"/>
  <c r="B458" i="2"/>
  <c r="C458" i="2"/>
  <c r="D458" i="2"/>
  <c r="E458" i="2"/>
  <c r="F458" i="2"/>
  <c r="G458" i="2"/>
  <c r="H458" i="2"/>
  <c r="I458" i="2"/>
  <c r="L458" i="2"/>
  <c r="M458" i="2"/>
  <c r="N458" i="2"/>
  <c r="U458" i="2"/>
  <c r="A459" i="2"/>
  <c r="B459" i="2"/>
  <c r="C459" i="2"/>
  <c r="D459" i="2"/>
  <c r="E459" i="2"/>
  <c r="F459" i="2"/>
  <c r="G459" i="2"/>
  <c r="H459" i="2"/>
  <c r="I459" i="2"/>
  <c r="L459" i="2"/>
  <c r="M459" i="2"/>
  <c r="N459" i="2"/>
  <c r="A460" i="2"/>
  <c r="T460" i="2" s="1"/>
  <c r="B460" i="2"/>
  <c r="C460" i="2"/>
  <c r="D460" i="2"/>
  <c r="E460" i="2"/>
  <c r="F460" i="2"/>
  <c r="G460" i="2"/>
  <c r="H460" i="2"/>
  <c r="I460" i="2"/>
  <c r="L460" i="2"/>
  <c r="M460" i="2"/>
  <c r="N460" i="2"/>
  <c r="S460" i="2"/>
  <c r="A461" i="2"/>
  <c r="B461" i="2"/>
  <c r="C461" i="2"/>
  <c r="D461" i="2"/>
  <c r="E461" i="2"/>
  <c r="F461" i="2"/>
  <c r="G461" i="2"/>
  <c r="H461" i="2"/>
  <c r="I461" i="2"/>
  <c r="L461" i="2"/>
  <c r="M461" i="2"/>
  <c r="N461" i="2"/>
  <c r="S461" i="2"/>
  <c r="A462" i="2"/>
  <c r="B462" i="2"/>
  <c r="C462" i="2"/>
  <c r="D462" i="2"/>
  <c r="E462" i="2"/>
  <c r="F462" i="2"/>
  <c r="G462" i="2"/>
  <c r="H462" i="2"/>
  <c r="I462" i="2"/>
  <c r="L462" i="2"/>
  <c r="M462" i="2"/>
  <c r="N462" i="2"/>
  <c r="A463" i="2"/>
  <c r="S463" i="2" s="1"/>
  <c r="B463" i="2"/>
  <c r="C463" i="2"/>
  <c r="D463" i="2"/>
  <c r="E463" i="2"/>
  <c r="F463" i="2"/>
  <c r="G463" i="2"/>
  <c r="H463" i="2"/>
  <c r="I463" i="2"/>
  <c r="L463" i="2"/>
  <c r="M463" i="2"/>
  <c r="N463" i="2"/>
  <c r="U463" i="2"/>
  <c r="A464" i="2"/>
  <c r="U464" i="2" s="1"/>
  <c r="B464" i="2"/>
  <c r="C464" i="2"/>
  <c r="D464" i="2"/>
  <c r="E464" i="2"/>
  <c r="F464" i="2"/>
  <c r="G464" i="2"/>
  <c r="H464" i="2"/>
  <c r="I464" i="2"/>
  <c r="L464" i="2"/>
  <c r="M464" i="2"/>
  <c r="N464" i="2"/>
  <c r="S464" i="2"/>
  <c r="A465" i="2"/>
  <c r="U465" i="2" s="1"/>
  <c r="B465" i="2"/>
  <c r="C465" i="2"/>
  <c r="D465" i="2"/>
  <c r="E465" i="2"/>
  <c r="F465" i="2"/>
  <c r="G465" i="2"/>
  <c r="H465" i="2"/>
  <c r="I465" i="2"/>
  <c r="L465" i="2"/>
  <c r="M465" i="2"/>
  <c r="N465" i="2"/>
  <c r="S465" i="2"/>
  <c r="A466" i="2"/>
  <c r="S466" i="2" s="1"/>
  <c r="B466" i="2"/>
  <c r="C466" i="2"/>
  <c r="D466" i="2"/>
  <c r="E466" i="2"/>
  <c r="F466" i="2"/>
  <c r="G466" i="2"/>
  <c r="H466" i="2"/>
  <c r="I466" i="2"/>
  <c r="L466" i="2"/>
  <c r="M466" i="2"/>
  <c r="N466" i="2"/>
  <c r="A467" i="2"/>
  <c r="B467" i="2"/>
  <c r="C467" i="2"/>
  <c r="D467" i="2"/>
  <c r="E467" i="2"/>
  <c r="F467" i="2"/>
  <c r="G467" i="2"/>
  <c r="H467" i="2"/>
  <c r="I467" i="2"/>
  <c r="L467" i="2"/>
  <c r="M467" i="2"/>
  <c r="N467" i="2"/>
  <c r="A468" i="2"/>
  <c r="T468" i="2" s="1"/>
  <c r="B468" i="2"/>
  <c r="C468" i="2"/>
  <c r="D468" i="2"/>
  <c r="E468" i="2"/>
  <c r="F468" i="2"/>
  <c r="G468" i="2"/>
  <c r="H468" i="2"/>
  <c r="I468" i="2"/>
  <c r="L468" i="2"/>
  <c r="M468" i="2"/>
  <c r="N468" i="2"/>
  <c r="S468" i="2"/>
  <c r="A469" i="2"/>
  <c r="T469" i="2" s="1"/>
  <c r="B469" i="2"/>
  <c r="C469" i="2"/>
  <c r="D469" i="2"/>
  <c r="E469" i="2"/>
  <c r="F469" i="2"/>
  <c r="G469" i="2"/>
  <c r="H469" i="2"/>
  <c r="I469" i="2"/>
  <c r="L469" i="2"/>
  <c r="M469" i="2"/>
  <c r="N469" i="2"/>
  <c r="S469" i="2"/>
  <c r="A470" i="2"/>
  <c r="S470" i="2" s="1"/>
  <c r="B470" i="2"/>
  <c r="C470" i="2"/>
  <c r="D470" i="2"/>
  <c r="E470" i="2"/>
  <c r="F470" i="2"/>
  <c r="G470" i="2"/>
  <c r="H470" i="2"/>
  <c r="I470" i="2"/>
  <c r="L470" i="2"/>
  <c r="M470" i="2"/>
  <c r="N470" i="2"/>
  <c r="A471" i="2"/>
  <c r="S471" i="2" s="1"/>
  <c r="B471" i="2"/>
  <c r="C471" i="2"/>
  <c r="D471" i="2"/>
  <c r="E471" i="2"/>
  <c r="F471" i="2"/>
  <c r="G471" i="2"/>
  <c r="H471" i="2"/>
  <c r="I471" i="2"/>
  <c r="L471" i="2"/>
  <c r="M471" i="2"/>
  <c r="N471" i="2"/>
  <c r="U471" i="2"/>
  <c r="A472" i="2"/>
  <c r="B472" i="2"/>
  <c r="C472" i="2"/>
  <c r="D472" i="2"/>
  <c r="E472" i="2"/>
  <c r="F472" i="2"/>
  <c r="G472" i="2"/>
  <c r="H472" i="2"/>
  <c r="I472" i="2"/>
  <c r="L472" i="2"/>
  <c r="M472" i="2"/>
  <c r="N472" i="2"/>
  <c r="A473" i="2"/>
  <c r="S473" i="2" s="1"/>
  <c r="B473" i="2"/>
  <c r="C473" i="2"/>
  <c r="D473" i="2"/>
  <c r="E473" i="2"/>
  <c r="F473" i="2"/>
  <c r="G473" i="2"/>
  <c r="H473" i="2"/>
  <c r="I473" i="2"/>
  <c r="L473" i="2"/>
  <c r="M473" i="2"/>
  <c r="N473" i="2"/>
  <c r="U473" i="2"/>
  <c r="A474" i="2"/>
  <c r="S474" i="2" s="1"/>
  <c r="B474" i="2"/>
  <c r="C474" i="2"/>
  <c r="D474" i="2"/>
  <c r="E474" i="2"/>
  <c r="F474" i="2"/>
  <c r="G474" i="2"/>
  <c r="H474" i="2"/>
  <c r="I474" i="2"/>
  <c r="L474" i="2"/>
  <c r="M474" i="2"/>
  <c r="N474" i="2"/>
  <c r="A475" i="2"/>
  <c r="S475" i="2" s="1"/>
  <c r="B475" i="2"/>
  <c r="C475" i="2"/>
  <c r="D475" i="2"/>
  <c r="E475" i="2"/>
  <c r="F475" i="2"/>
  <c r="G475" i="2"/>
  <c r="H475" i="2"/>
  <c r="I475" i="2"/>
  <c r="L475" i="2"/>
  <c r="M475" i="2"/>
  <c r="N475" i="2"/>
  <c r="A476" i="2"/>
  <c r="T476" i="2" s="1"/>
  <c r="B476" i="2"/>
  <c r="C476" i="2"/>
  <c r="D476" i="2"/>
  <c r="E476" i="2"/>
  <c r="F476" i="2"/>
  <c r="G476" i="2"/>
  <c r="H476" i="2"/>
  <c r="I476" i="2"/>
  <c r="L476" i="2"/>
  <c r="M476" i="2"/>
  <c r="N476" i="2"/>
  <c r="S476" i="2"/>
  <c r="A477" i="2"/>
  <c r="T477" i="2" s="1"/>
  <c r="B477" i="2"/>
  <c r="C477" i="2"/>
  <c r="D477" i="2"/>
  <c r="E477" i="2"/>
  <c r="F477" i="2"/>
  <c r="G477" i="2"/>
  <c r="H477" i="2"/>
  <c r="I477" i="2"/>
  <c r="L477" i="2"/>
  <c r="M477" i="2"/>
  <c r="N477" i="2"/>
  <c r="S477" i="2"/>
  <c r="A478" i="2"/>
  <c r="T478" i="2" s="1"/>
  <c r="B478" i="2"/>
  <c r="C478" i="2"/>
  <c r="D478" i="2"/>
  <c r="E478" i="2"/>
  <c r="F478" i="2"/>
  <c r="G478" i="2"/>
  <c r="H478" i="2"/>
  <c r="I478" i="2"/>
  <c r="L478" i="2"/>
  <c r="M478" i="2"/>
  <c r="N478" i="2"/>
  <c r="A479" i="2"/>
  <c r="S479" i="2" s="1"/>
  <c r="B479" i="2"/>
  <c r="C479" i="2"/>
  <c r="D479" i="2"/>
  <c r="E479" i="2"/>
  <c r="F479" i="2"/>
  <c r="G479" i="2"/>
  <c r="H479" i="2"/>
  <c r="I479" i="2"/>
  <c r="L479" i="2"/>
  <c r="M479" i="2"/>
  <c r="N479" i="2"/>
  <c r="A480" i="2"/>
  <c r="B480" i="2"/>
  <c r="C480" i="2"/>
  <c r="D480" i="2"/>
  <c r="E480" i="2"/>
  <c r="F480" i="2"/>
  <c r="G480" i="2"/>
  <c r="H480" i="2"/>
  <c r="I480" i="2"/>
  <c r="L480" i="2"/>
  <c r="M480" i="2"/>
  <c r="N480" i="2"/>
  <c r="A481" i="2"/>
  <c r="S481" i="2" s="1"/>
  <c r="B481" i="2"/>
  <c r="C481" i="2"/>
  <c r="D481" i="2"/>
  <c r="E481" i="2"/>
  <c r="F481" i="2"/>
  <c r="G481" i="2"/>
  <c r="H481" i="2"/>
  <c r="I481" i="2"/>
  <c r="L481" i="2"/>
  <c r="M481" i="2"/>
  <c r="N481" i="2"/>
  <c r="U481" i="2"/>
  <c r="A482" i="2"/>
  <c r="S482" i="2" s="1"/>
  <c r="B482" i="2"/>
  <c r="C482" i="2"/>
  <c r="D482" i="2"/>
  <c r="E482" i="2"/>
  <c r="F482" i="2"/>
  <c r="G482" i="2"/>
  <c r="H482" i="2"/>
  <c r="I482" i="2"/>
  <c r="L482" i="2"/>
  <c r="M482" i="2"/>
  <c r="N482" i="2"/>
  <c r="A483" i="2"/>
  <c r="S483" i="2" s="1"/>
  <c r="B483" i="2"/>
  <c r="C483" i="2"/>
  <c r="D483" i="2"/>
  <c r="E483" i="2"/>
  <c r="F483" i="2"/>
  <c r="G483" i="2"/>
  <c r="H483" i="2"/>
  <c r="I483" i="2"/>
  <c r="L483" i="2"/>
  <c r="M483" i="2"/>
  <c r="N483" i="2"/>
  <c r="A484" i="2"/>
  <c r="U484" i="2" s="1"/>
  <c r="B484" i="2"/>
  <c r="C484" i="2"/>
  <c r="D484" i="2"/>
  <c r="E484" i="2"/>
  <c r="F484" i="2"/>
  <c r="G484" i="2"/>
  <c r="H484" i="2"/>
  <c r="I484" i="2"/>
  <c r="L484" i="2"/>
  <c r="M484" i="2"/>
  <c r="N484" i="2"/>
  <c r="S484" i="2"/>
  <c r="A485" i="2"/>
  <c r="T485" i="2" s="1"/>
  <c r="B485" i="2"/>
  <c r="C485" i="2"/>
  <c r="D485" i="2"/>
  <c r="E485" i="2"/>
  <c r="F485" i="2"/>
  <c r="G485" i="2"/>
  <c r="H485" i="2"/>
  <c r="I485" i="2"/>
  <c r="L485" i="2"/>
  <c r="M485" i="2"/>
  <c r="N485" i="2"/>
  <c r="S485" i="2"/>
  <c r="U485" i="2"/>
  <c r="A486" i="2"/>
  <c r="S486" i="2" s="1"/>
  <c r="B486" i="2"/>
  <c r="C486" i="2"/>
  <c r="D486" i="2"/>
  <c r="E486" i="2"/>
  <c r="F486" i="2"/>
  <c r="G486" i="2"/>
  <c r="H486" i="2"/>
  <c r="I486" i="2"/>
  <c r="L486" i="2"/>
  <c r="M486" i="2"/>
  <c r="N486" i="2"/>
  <c r="A487" i="2"/>
  <c r="S487" i="2" s="1"/>
  <c r="B487" i="2"/>
  <c r="C487" i="2"/>
  <c r="D487" i="2"/>
  <c r="E487" i="2"/>
  <c r="F487" i="2"/>
  <c r="G487" i="2"/>
  <c r="H487" i="2"/>
  <c r="I487" i="2"/>
  <c r="L487" i="2"/>
  <c r="M487" i="2"/>
  <c r="N487" i="2"/>
  <c r="U487" i="2"/>
  <c r="A488" i="2"/>
  <c r="B488" i="2"/>
  <c r="C488" i="2"/>
  <c r="D488" i="2"/>
  <c r="E488" i="2"/>
  <c r="F488" i="2"/>
  <c r="G488" i="2"/>
  <c r="H488" i="2"/>
  <c r="I488" i="2"/>
  <c r="L488" i="2"/>
  <c r="M488" i="2"/>
  <c r="N488" i="2"/>
  <c r="A489" i="2"/>
  <c r="S489" i="2" s="1"/>
  <c r="B489" i="2"/>
  <c r="C489" i="2"/>
  <c r="D489" i="2"/>
  <c r="E489" i="2"/>
  <c r="F489" i="2"/>
  <c r="G489" i="2"/>
  <c r="H489" i="2"/>
  <c r="I489" i="2"/>
  <c r="L489" i="2"/>
  <c r="M489" i="2"/>
  <c r="N489" i="2"/>
  <c r="U489" i="2"/>
  <c r="A490" i="2"/>
  <c r="T490" i="2" s="1"/>
  <c r="B490" i="2"/>
  <c r="C490" i="2"/>
  <c r="D490" i="2"/>
  <c r="E490" i="2"/>
  <c r="F490" i="2"/>
  <c r="G490" i="2"/>
  <c r="H490" i="2"/>
  <c r="I490" i="2"/>
  <c r="L490" i="2"/>
  <c r="M490" i="2"/>
  <c r="N490" i="2"/>
  <c r="U490" i="2"/>
  <c r="A491" i="2"/>
  <c r="S491" i="2" s="1"/>
  <c r="B491" i="2"/>
  <c r="C491" i="2"/>
  <c r="D491" i="2"/>
  <c r="E491" i="2"/>
  <c r="F491" i="2"/>
  <c r="G491" i="2"/>
  <c r="H491" i="2"/>
  <c r="I491" i="2"/>
  <c r="L491" i="2"/>
  <c r="M491" i="2"/>
  <c r="N491" i="2"/>
  <c r="A492" i="2"/>
  <c r="T492" i="2" s="1"/>
  <c r="B492" i="2"/>
  <c r="C492" i="2"/>
  <c r="D492" i="2"/>
  <c r="E492" i="2"/>
  <c r="F492" i="2"/>
  <c r="G492" i="2"/>
  <c r="H492" i="2"/>
  <c r="I492" i="2"/>
  <c r="L492" i="2"/>
  <c r="M492" i="2"/>
  <c r="N492" i="2"/>
  <c r="S492" i="2"/>
  <c r="A493" i="2"/>
  <c r="T493" i="2" s="1"/>
  <c r="B493" i="2"/>
  <c r="C493" i="2"/>
  <c r="D493" i="2"/>
  <c r="E493" i="2"/>
  <c r="F493" i="2"/>
  <c r="G493" i="2"/>
  <c r="H493" i="2"/>
  <c r="I493" i="2"/>
  <c r="L493" i="2"/>
  <c r="M493" i="2"/>
  <c r="N493" i="2"/>
  <c r="S493" i="2"/>
  <c r="A494" i="2"/>
  <c r="S494" i="2" s="1"/>
  <c r="B494" i="2"/>
  <c r="C494" i="2"/>
  <c r="D494" i="2"/>
  <c r="E494" i="2"/>
  <c r="F494" i="2"/>
  <c r="G494" i="2"/>
  <c r="H494" i="2"/>
  <c r="I494" i="2"/>
  <c r="L494" i="2"/>
  <c r="M494" i="2"/>
  <c r="N494" i="2"/>
  <c r="A495" i="2"/>
  <c r="S495" i="2" s="1"/>
  <c r="B495" i="2"/>
  <c r="C495" i="2"/>
  <c r="D495" i="2"/>
  <c r="E495" i="2"/>
  <c r="F495" i="2"/>
  <c r="G495" i="2"/>
  <c r="H495" i="2"/>
  <c r="I495" i="2"/>
  <c r="L495" i="2"/>
  <c r="M495" i="2"/>
  <c r="N495" i="2"/>
  <c r="A496" i="2"/>
  <c r="B496" i="2"/>
  <c r="C496" i="2"/>
  <c r="D496" i="2"/>
  <c r="E496" i="2"/>
  <c r="F496" i="2"/>
  <c r="G496" i="2"/>
  <c r="H496" i="2"/>
  <c r="I496" i="2"/>
  <c r="L496" i="2"/>
  <c r="M496" i="2"/>
  <c r="N496" i="2"/>
  <c r="A497" i="2"/>
  <c r="S497" i="2" s="1"/>
  <c r="B497" i="2"/>
  <c r="C497" i="2"/>
  <c r="D497" i="2"/>
  <c r="E497" i="2"/>
  <c r="F497" i="2"/>
  <c r="G497" i="2"/>
  <c r="H497" i="2"/>
  <c r="I497" i="2"/>
  <c r="L497" i="2"/>
  <c r="M497" i="2"/>
  <c r="N497" i="2"/>
  <c r="A498" i="2"/>
  <c r="S498" i="2" s="1"/>
  <c r="B498" i="2"/>
  <c r="C498" i="2"/>
  <c r="D498" i="2"/>
  <c r="E498" i="2"/>
  <c r="F498" i="2"/>
  <c r="G498" i="2"/>
  <c r="H498" i="2"/>
  <c r="I498" i="2"/>
  <c r="L498" i="2"/>
  <c r="M498" i="2"/>
  <c r="N498" i="2"/>
  <c r="U498" i="2"/>
  <c r="A499" i="2"/>
  <c r="S499" i="2" s="1"/>
  <c r="B499" i="2"/>
  <c r="C499" i="2"/>
  <c r="D499" i="2"/>
  <c r="E499" i="2"/>
  <c r="F499" i="2"/>
  <c r="G499" i="2"/>
  <c r="H499" i="2"/>
  <c r="I499" i="2"/>
  <c r="L499" i="2"/>
  <c r="M499" i="2"/>
  <c r="N499" i="2"/>
  <c r="A500" i="2"/>
  <c r="T500" i="2" s="1"/>
  <c r="B500" i="2"/>
  <c r="C500" i="2"/>
  <c r="D500" i="2"/>
  <c r="E500" i="2"/>
  <c r="F500" i="2"/>
  <c r="G500" i="2"/>
  <c r="H500" i="2"/>
  <c r="I500" i="2"/>
  <c r="L500" i="2"/>
  <c r="M500" i="2"/>
  <c r="N500" i="2"/>
  <c r="S500" i="2"/>
  <c r="B25" i="8"/>
  <c r="M23" i="8"/>
  <c r="L23" i="8"/>
  <c r="L22" i="8"/>
  <c r="M22" i="8" s="1"/>
  <c r="H22" i="8"/>
  <c r="L21" i="8"/>
  <c r="M21" i="8" s="1"/>
  <c r="H21" i="8"/>
  <c r="L20" i="8"/>
  <c r="M20" i="8" s="1"/>
  <c r="L19" i="8"/>
  <c r="M19" i="8" s="1"/>
  <c r="H19" i="8"/>
  <c r="L18" i="8"/>
  <c r="M18" i="8" s="1"/>
  <c r="H18" i="8"/>
  <c r="H17" i="8"/>
  <c r="H16" i="8"/>
  <c r="H15" i="8"/>
  <c r="H14" i="8"/>
  <c r="H13" i="8"/>
  <c r="N6" i="8"/>
  <c r="J6" i="8"/>
  <c r="F6" i="8"/>
  <c r="B25" i="9"/>
  <c r="L23" i="9"/>
  <c r="M23" i="9" s="1"/>
  <c r="L22" i="9"/>
  <c r="M22" i="9" s="1"/>
  <c r="H22" i="9"/>
  <c r="L21" i="9"/>
  <c r="M21" i="9" s="1"/>
  <c r="H21" i="9"/>
  <c r="L20" i="9"/>
  <c r="M20" i="9" s="1"/>
  <c r="M19" i="9"/>
  <c r="L19" i="9"/>
  <c r="H19" i="9"/>
  <c r="L18" i="9"/>
  <c r="M18" i="9" s="1"/>
  <c r="H18" i="9"/>
  <c r="H17" i="9"/>
  <c r="H16" i="9"/>
  <c r="H15" i="9"/>
  <c r="H14" i="9"/>
  <c r="H13" i="9"/>
  <c r="N6" i="9"/>
  <c r="J6" i="9"/>
  <c r="F6" i="9"/>
  <c r="B25" i="10"/>
  <c r="L23" i="10"/>
  <c r="M23" i="10" s="1"/>
  <c r="L22" i="10"/>
  <c r="M22" i="10" s="1"/>
  <c r="H22" i="10"/>
  <c r="L21" i="10"/>
  <c r="M21" i="10" s="1"/>
  <c r="H21" i="10"/>
  <c r="M20" i="10"/>
  <c r="L20" i="10"/>
  <c r="L19" i="10"/>
  <c r="M19" i="10" s="1"/>
  <c r="H19" i="10"/>
  <c r="L18" i="10"/>
  <c r="M18" i="10" s="1"/>
  <c r="H18" i="10"/>
  <c r="H17" i="10"/>
  <c r="H16" i="10"/>
  <c r="H15" i="10"/>
  <c r="H14" i="10"/>
  <c r="H13" i="10"/>
  <c r="N6" i="10"/>
  <c r="J6" i="10"/>
  <c r="F6" i="10"/>
  <c r="B25" i="11"/>
  <c r="L23" i="11"/>
  <c r="M23" i="11" s="1"/>
  <c r="L22" i="11"/>
  <c r="M22" i="11" s="1"/>
  <c r="H22" i="11"/>
  <c r="L21" i="11"/>
  <c r="M21" i="11" s="1"/>
  <c r="H21" i="11"/>
  <c r="L20" i="11"/>
  <c r="M20" i="11" s="1"/>
  <c r="L19" i="11"/>
  <c r="M19" i="11" s="1"/>
  <c r="H19" i="11"/>
  <c r="L18" i="11"/>
  <c r="M18" i="11" s="1"/>
  <c r="H18" i="11"/>
  <c r="H17" i="11"/>
  <c r="H16" i="11"/>
  <c r="H15" i="11"/>
  <c r="H14" i="11"/>
  <c r="H13" i="11"/>
  <c r="N6" i="11"/>
  <c r="J6" i="11"/>
  <c r="F6" i="11"/>
  <c r="H24" i="3"/>
  <c r="H25" i="3"/>
  <c r="H26" i="3"/>
  <c r="H27" i="3"/>
  <c r="H28" i="3"/>
  <c r="H29" i="3"/>
  <c r="H30" i="3"/>
  <c r="H32" i="3"/>
  <c r="H33" i="3"/>
  <c r="H13" i="3"/>
  <c r="N25" i="3"/>
  <c r="N24" i="3"/>
  <c r="M25" i="3"/>
  <c r="M24" i="3"/>
  <c r="J7" i="1"/>
  <c r="J6" i="2" s="1"/>
  <c r="J8" i="1"/>
  <c r="J7" i="2" s="1"/>
  <c r="J9" i="1"/>
  <c r="J8" i="2" s="1"/>
  <c r="J10" i="1"/>
  <c r="J9" i="2" s="1"/>
  <c r="J11" i="1"/>
  <c r="J10" i="2" s="1"/>
  <c r="J12" i="1"/>
  <c r="J11" i="2" s="1"/>
  <c r="J13" i="1"/>
  <c r="J12" i="2" s="1"/>
  <c r="J14" i="1"/>
  <c r="J13" i="2" s="1"/>
  <c r="J15" i="1"/>
  <c r="J14" i="2" s="1"/>
  <c r="J16" i="1"/>
  <c r="J15" i="2" s="1"/>
  <c r="Q15" i="2" s="1"/>
  <c r="J17" i="1"/>
  <c r="J16" i="2" s="1"/>
  <c r="J18" i="1"/>
  <c r="J17" i="2" s="1"/>
  <c r="J19" i="1"/>
  <c r="J18" i="2" s="1"/>
  <c r="J20" i="1"/>
  <c r="J19" i="2" s="1"/>
  <c r="Q19" i="2" s="1"/>
  <c r="J21" i="1"/>
  <c r="J20" i="2" s="1"/>
  <c r="J22" i="1"/>
  <c r="J21" i="2" s="1"/>
  <c r="J23" i="1"/>
  <c r="J22" i="2" s="1"/>
  <c r="J24" i="1"/>
  <c r="J23" i="2" s="1"/>
  <c r="J25" i="1"/>
  <c r="J24" i="2" s="1"/>
  <c r="J26" i="1"/>
  <c r="J25" i="2" s="1"/>
  <c r="J27" i="1"/>
  <c r="J26" i="2" s="1"/>
  <c r="J28" i="1"/>
  <c r="J27" i="2" s="1"/>
  <c r="J29" i="1"/>
  <c r="J28" i="2" s="1"/>
  <c r="J30" i="1"/>
  <c r="J29" i="2" s="1"/>
  <c r="J31" i="1"/>
  <c r="J30" i="2" s="1"/>
  <c r="J32" i="1"/>
  <c r="J31" i="2" s="1"/>
  <c r="Q31" i="2" s="1"/>
  <c r="J33" i="1"/>
  <c r="J32" i="2" s="1"/>
  <c r="J34" i="1"/>
  <c r="J33" i="2" s="1"/>
  <c r="J35" i="1"/>
  <c r="J34" i="2" s="1"/>
  <c r="J36" i="1"/>
  <c r="J35" i="2" s="1"/>
  <c r="J37" i="1"/>
  <c r="J36" i="2" s="1"/>
  <c r="J38" i="1"/>
  <c r="J37" i="2" s="1"/>
  <c r="J39" i="1"/>
  <c r="J38" i="2" s="1"/>
  <c r="J40" i="1"/>
  <c r="J39" i="2" s="1"/>
  <c r="J41" i="1"/>
  <c r="J40" i="2" s="1"/>
  <c r="J42" i="1"/>
  <c r="J41" i="2" s="1"/>
  <c r="J43" i="1"/>
  <c r="J42" i="2" s="1"/>
  <c r="J44" i="1"/>
  <c r="J43" i="2" s="1"/>
  <c r="Q43" i="2" s="1"/>
  <c r="J45" i="1"/>
  <c r="J44" i="2" s="1"/>
  <c r="J46" i="1"/>
  <c r="J45" i="2" s="1"/>
  <c r="J47" i="1"/>
  <c r="J46" i="2" s="1"/>
  <c r="J48" i="1"/>
  <c r="J47" i="2" s="1"/>
  <c r="J49" i="1"/>
  <c r="J48" i="2" s="1"/>
  <c r="J50" i="1"/>
  <c r="J49" i="2" s="1"/>
  <c r="J51" i="1"/>
  <c r="J50" i="2" s="1"/>
  <c r="J52" i="1"/>
  <c r="J51" i="2" s="1"/>
  <c r="J53" i="1"/>
  <c r="J52" i="2" s="1"/>
  <c r="J54" i="1"/>
  <c r="J53" i="2" s="1"/>
  <c r="J55" i="1"/>
  <c r="J54" i="2" s="1"/>
  <c r="J56" i="1"/>
  <c r="J55" i="2" s="1"/>
  <c r="J57" i="1"/>
  <c r="J56" i="2" s="1"/>
  <c r="J58" i="1"/>
  <c r="J57" i="2" s="1"/>
  <c r="J59" i="1"/>
  <c r="J58" i="2" s="1"/>
  <c r="J60" i="1"/>
  <c r="J59" i="2" s="1"/>
  <c r="J61" i="1"/>
  <c r="J60" i="2" s="1"/>
  <c r="J62" i="1"/>
  <c r="J61" i="2" s="1"/>
  <c r="J63" i="1"/>
  <c r="J62" i="2" s="1"/>
  <c r="J64" i="1"/>
  <c r="J63" i="2" s="1"/>
  <c r="J65" i="1"/>
  <c r="J64" i="2" s="1"/>
  <c r="J66" i="1"/>
  <c r="J65" i="2" s="1"/>
  <c r="J67" i="1"/>
  <c r="J66" i="2" s="1"/>
  <c r="J68" i="1"/>
  <c r="J67" i="2" s="1"/>
  <c r="J69" i="1"/>
  <c r="J68" i="2" s="1"/>
  <c r="J70" i="1"/>
  <c r="J69" i="2" s="1"/>
  <c r="J71" i="1"/>
  <c r="J70" i="2" s="1"/>
  <c r="J72" i="1"/>
  <c r="J71" i="2" s="1"/>
  <c r="Q71" i="2" s="1"/>
  <c r="W71" i="2" s="1"/>
  <c r="J73" i="1"/>
  <c r="J72" i="2" s="1"/>
  <c r="J74" i="1"/>
  <c r="J73" i="2" s="1"/>
  <c r="J75" i="1"/>
  <c r="J74" i="2" s="1"/>
  <c r="J76" i="1"/>
  <c r="J75" i="2" s="1"/>
  <c r="J77" i="1"/>
  <c r="J76" i="2" s="1"/>
  <c r="J78" i="1"/>
  <c r="J77" i="2" s="1"/>
  <c r="J79" i="1"/>
  <c r="J78" i="2" s="1"/>
  <c r="J80" i="1"/>
  <c r="J79" i="2" s="1"/>
  <c r="Q79" i="2" s="1"/>
  <c r="J81" i="1"/>
  <c r="J80" i="2" s="1"/>
  <c r="J82" i="1"/>
  <c r="J81" i="2" s="1"/>
  <c r="Q81" i="2" s="1"/>
  <c r="W81" i="2" s="1"/>
  <c r="J83" i="1"/>
  <c r="J82" i="2" s="1"/>
  <c r="J84" i="1"/>
  <c r="J83" i="2" s="1"/>
  <c r="J85" i="1"/>
  <c r="J84" i="2" s="1"/>
  <c r="J86" i="1"/>
  <c r="J85" i="2" s="1"/>
  <c r="J87" i="1"/>
  <c r="J86" i="2" s="1"/>
  <c r="J88" i="1"/>
  <c r="J87" i="2" s="1"/>
  <c r="Q87" i="2" s="1"/>
  <c r="W87" i="2" s="1"/>
  <c r="J89" i="1"/>
  <c r="J88" i="2" s="1"/>
  <c r="J90" i="1"/>
  <c r="J89" i="2" s="1"/>
  <c r="Q89" i="2" s="1"/>
  <c r="W89" i="2" s="1"/>
  <c r="J91" i="1"/>
  <c r="J90" i="2" s="1"/>
  <c r="J92" i="1"/>
  <c r="J91" i="2" s="1"/>
  <c r="J93" i="1"/>
  <c r="J92" i="2" s="1"/>
  <c r="J94" i="1"/>
  <c r="J93" i="2" s="1"/>
  <c r="J95" i="1"/>
  <c r="J94" i="2" s="1"/>
  <c r="J96" i="1"/>
  <c r="J95" i="2" s="1"/>
  <c r="J97" i="1"/>
  <c r="J96" i="2" s="1"/>
  <c r="J98" i="1"/>
  <c r="J97" i="2" s="1"/>
  <c r="J99" i="1"/>
  <c r="J98" i="2" s="1"/>
  <c r="J100" i="1"/>
  <c r="J99" i="2" s="1"/>
  <c r="J101" i="1"/>
  <c r="J100" i="2" s="1"/>
  <c r="J102" i="1"/>
  <c r="J101" i="2" s="1"/>
  <c r="J103" i="1"/>
  <c r="J102" i="2" s="1"/>
  <c r="J104" i="1"/>
  <c r="J103" i="2" s="1"/>
  <c r="J105" i="1"/>
  <c r="J104" i="2" s="1"/>
  <c r="J106" i="1"/>
  <c r="J105" i="2" s="1"/>
  <c r="J107" i="1"/>
  <c r="J106" i="2" s="1"/>
  <c r="J108" i="1"/>
  <c r="J107" i="2" s="1"/>
  <c r="J109" i="1"/>
  <c r="J108" i="2" s="1"/>
  <c r="J110" i="1"/>
  <c r="J109" i="2" s="1"/>
  <c r="J111" i="1"/>
  <c r="J110" i="2" s="1"/>
  <c r="J112" i="1"/>
  <c r="J111" i="2" s="1"/>
  <c r="J113" i="1"/>
  <c r="J112" i="2" s="1"/>
  <c r="J114" i="1"/>
  <c r="J113" i="2" s="1"/>
  <c r="J115" i="1"/>
  <c r="J114" i="2" s="1"/>
  <c r="J116" i="1"/>
  <c r="J115" i="2" s="1"/>
  <c r="J117" i="1"/>
  <c r="J116" i="2" s="1"/>
  <c r="J118" i="1"/>
  <c r="J117" i="2" s="1"/>
  <c r="J119" i="1"/>
  <c r="J118" i="2" s="1"/>
  <c r="J120" i="1"/>
  <c r="J119" i="2" s="1"/>
  <c r="J121" i="1"/>
  <c r="J120" i="2" s="1"/>
  <c r="J122" i="1"/>
  <c r="J121" i="2" s="1"/>
  <c r="J123" i="1"/>
  <c r="J122" i="2" s="1"/>
  <c r="Q122" i="2" s="1"/>
  <c r="W122" i="2" s="1"/>
  <c r="J124" i="1"/>
  <c r="J123" i="2" s="1"/>
  <c r="J125" i="1"/>
  <c r="J124" i="2" s="1"/>
  <c r="J126" i="1"/>
  <c r="J125" i="2" s="1"/>
  <c r="J127" i="1"/>
  <c r="J126" i="2" s="1"/>
  <c r="J128" i="1"/>
  <c r="J127" i="2" s="1"/>
  <c r="J129" i="1"/>
  <c r="J128" i="2" s="1"/>
  <c r="J130" i="1"/>
  <c r="J129" i="2" s="1"/>
  <c r="J131" i="1"/>
  <c r="J130" i="2" s="1"/>
  <c r="J132" i="1"/>
  <c r="J131" i="2" s="1"/>
  <c r="J133" i="1"/>
  <c r="J132" i="2" s="1"/>
  <c r="J134" i="1"/>
  <c r="J133" i="2" s="1"/>
  <c r="J135" i="1"/>
  <c r="J134" i="2" s="1"/>
  <c r="J136" i="1"/>
  <c r="J135" i="2" s="1"/>
  <c r="Q135" i="2" s="1"/>
  <c r="W135" i="2" s="1"/>
  <c r="J137" i="1"/>
  <c r="J136" i="2" s="1"/>
  <c r="J138" i="1"/>
  <c r="J137" i="2" s="1"/>
  <c r="Q137" i="2" s="1"/>
  <c r="W137" i="2" s="1"/>
  <c r="J139" i="1"/>
  <c r="J138" i="2" s="1"/>
  <c r="J140" i="1"/>
  <c r="J139" i="2" s="1"/>
  <c r="J141" i="1"/>
  <c r="J140" i="2" s="1"/>
  <c r="J142" i="1"/>
  <c r="J141" i="2" s="1"/>
  <c r="J143" i="1"/>
  <c r="J142" i="2" s="1"/>
  <c r="J144" i="1"/>
  <c r="J143" i="2" s="1"/>
  <c r="J145" i="1"/>
  <c r="J144" i="2" s="1"/>
  <c r="J146" i="1"/>
  <c r="J145" i="2" s="1"/>
  <c r="J147" i="1"/>
  <c r="J146" i="2" s="1"/>
  <c r="J148" i="1"/>
  <c r="J147" i="2" s="1"/>
  <c r="J149" i="1"/>
  <c r="J148" i="2" s="1"/>
  <c r="J150" i="1"/>
  <c r="J149" i="2" s="1"/>
  <c r="J151" i="1"/>
  <c r="J150" i="2" s="1"/>
  <c r="J152" i="1"/>
  <c r="J151" i="2" s="1"/>
  <c r="J153" i="1"/>
  <c r="J152" i="2" s="1"/>
  <c r="J154" i="1"/>
  <c r="J153" i="2" s="1"/>
  <c r="Q153" i="2" s="1"/>
  <c r="W153" i="2" s="1"/>
  <c r="J155" i="1"/>
  <c r="J154" i="2" s="1"/>
  <c r="J156" i="1"/>
  <c r="J155" i="2" s="1"/>
  <c r="J157" i="1"/>
  <c r="J156" i="2" s="1"/>
  <c r="J158" i="1"/>
  <c r="J157" i="2" s="1"/>
  <c r="J159" i="1"/>
  <c r="J158" i="2" s="1"/>
  <c r="J160" i="1"/>
  <c r="J159" i="2" s="1"/>
  <c r="Q159" i="2" s="1"/>
  <c r="J161" i="1"/>
  <c r="J160" i="2" s="1"/>
  <c r="J162" i="1"/>
  <c r="J161" i="2" s="1"/>
  <c r="J163" i="1"/>
  <c r="J162" i="2" s="1"/>
  <c r="J164" i="1"/>
  <c r="J163" i="2" s="1"/>
  <c r="J165" i="1"/>
  <c r="J164" i="2" s="1"/>
  <c r="J166" i="1"/>
  <c r="J165" i="2" s="1"/>
  <c r="J167" i="1"/>
  <c r="J166" i="2" s="1"/>
  <c r="J168" i="1"/>
  <c r="J167" i="2" s="1"/>
  <c r="J169" i="1"/>
  <c r="J168" i="2" s="1"/>
  <c r="J170" i="1"/>
  <c r="J169" i="2" s="1"/>
  <c r="J171" i="1"/>
  <c r="J170" i="2" s="1"/>
  <c r="J172" i="1"/>
  <c r="J171" i="2" s="1"/>
  <c r="J173" i="1"/>
  <c r="J172" i="2" s="1"/>
  <c r="J174" i="1"/>
  <c r="J173" i="2" s="1"/>
  <c r="J175" i="1"/>
  <c r="J174" i="2" s="1"/>
  <c r="J176" i="1"/>
  <c r="J175" i="2" s="1"/>
  <c r="J177" i="1"/>
  <c r="J176" i="2" s="1"/>
  <c r="J178" i="1"/>
  <c r="J177" i="2" s="1"/>
  <c r="J179" i="1"/>
  <c r="J178" i="2" s="1"/>
  <c r="J180" i="1"/>
  <c r="J179" i="2" s="1"/>
  <c r="J181" i="1"/>
  <c r="J180" i="2" s="1"/>
  <c r="J182" i="1"/>
  <c r="J181" i="2" s="1"/>
  <c r="J183" i="1"/>
  <c r="J182" i="2" s="1"/>
  <c r="J184" i="1"/>
  <c r="J183" i="2" s="1"/>
  <c r="J185" i="1"/>
  <c r="J184" i="2" s="1"/>
  <c r="J186" i="1"/>
  <c r="J185" i="2" s="1"/>
  <c r="J187" i="1"/>
  <c r="J186" i="2" s="1"/>
  <c r="J188" i="1"/>
  <c r="J187" i="2" s="1"/>
  <c r="J189" i="1"/>
  <c r="J188" i="2" s="1"/>
  <c r="J190" i="1"/>
  <c r="J189" i="2" s="1"/>
  <c r="J191" i="1"/>
  <c r="J190" i="2" s="1"/>
  <c r="J192" i="1"/>
  <c r="J191" i="2" s="1"/>
  <c r="J193" i="1"/>
  <c r="J192" i="2" s="1"/>
  <c r="J194" i="1"/>
  <c r="J193" i="2" s="1"/>
  <c r="J195" i="1"/>
  <c r="J194" i="2" s="1"/>
  <c r="Q194" i="2" s="1"/>
  <c r="J196" i="1"/>
  <c r="J195" i="2" s="1"/>
  <c r="J197" i="1"/>
  <c r="J196" i="2" s="1"/>
  <c r="J198" i="1"/>
  <c r="J197" i="2" s="1"/>
  <c r="J199" i="1"/>
  <c r="J198" i="2" s="1"/>
  <c r="J200" i="1"/>
  <c r="J199" i="2" s="1"/>
  <c r="J201" i="1"/>
  <c r="J200" i="2" s="1"/>
  <c r="J202" i="1"/>
  <c r="J201" i="2" s="1"/>
  <c r="J203" i="1"/>
  <c r="J202" i="2" s="1"/>
  <c r="J204" i="1"/>
  <c r="J203" i="2" s="1"/>
  <c r="J205" i="1"/>
  <c r="J204" i="2" s="1"/>
  <c r="J206" i="1"/>
  <c r="J205" i="2" s="1"/>
  <c r="J207" i="1"/>
  <c r="J206" i="2" s="1"/>
  <c r="J208" i="1"/>
  <c r="J207" i="2" s="1"/>
  <c r="J209" i="1"/>
  <c r="J208" i="2" s="1"/>
  <c r="J210" i="1"/>
  <c r="J209" i="2" s="1"/>
  <c r="Q209" i="2" s="1"/>
  <c r="W209" i="2" s="1"/>
  <c r="J211" i="1"/>
  <c r="J210" i="2" s="1"/>
  <c r="J212" i="1"/>
  <c r="J211" i="2" s="1"/>
  <c r="J213" i="1"/>
  <c r="J212" i="2" s="1"/>
  <c r="J214" i="1"/>
  <c r="J213" i="2" s="1"/>
  <c r="J215" i="1"/>
  <c r="J214" i="2" s="1"/>
  <c r="J216" i="1"/>
  <c r="J215" i="2" s="1"/>
  <c r="Q215" i="2" s="1"/>
  <c r="V215" i="2" s="1"/>
  <c r="J217" i="1"/>
  <c r="J216" i="2" s="1"/>
  <c r="J218" i="1"/>
  <c r="J217" i="2" s="1"/>
  <c r="J219" i="1"/>
  <c r="J218" i="2" s="1"/>
  <c r="J220" i="1"/>
  <c r="J219" i="2" s="1"/>
  <c r="J221" i="1"/>
  <c r="J220" i="2" s="1"/>
  <c r="J222" i="1"/>
  <c r="J221" i="2" s="1"/>
  <c r="J223" i="1"/>
  <c r="J222" i="2" s="1"/>
  <c r="J224" i="1"/>
  <c r="J223" i="2" s="1"/>
  <c r="J225" i="1"/>
  <c r="J224" i="2" s="1"/>
  <c r="J226" i="1"/>
  <c r="J225" i="2" s="1"/>
  <c r="J227" i="1"/>
  <c r="J226" i="2" s="1"/>
  <c r="Q226" i="2" s="1"/>
  <c r="W226" i="2" s="1"/>
  <c r="J228" i="1"/>
  <c r="J227" i="2" s="1"/>
  <c r="J229" i="1"/>
  <c r="J228" i="2" s="1"/>
  <c r="J230" i="1"/>
  <c r="J229" i="2" s="1"/>
  <c r="J231" i="1"/>
  <c r="J230" i="2" s="1"/>
  <c r="J232" i="1"/>
  <c r="J231" i="2" s="1"/>
  <c r="J233" i="1"/>
  <c r="J232" i="2" s="1"/>
  <c r="J234" i="1"/>
  <c r="J233" i="2" s="1"/>
  <c r="J235" i="1"/>
  <c r="J234" i="2" s="1"/>
  <c r="Q234" i="2" s="1"/>
  <c r="J236" i="1"/>
  <c r="J235" i="2" s="1"/>
  <c r="J237" i="1"/>
  <c r="J236" i="2" s="1"/>
  <c r="J238" i="1"/>
  <c r="J237" i="2" s="1"/>
  <c r="J239" i="1"/>
  <c r="J238" i="2" s="1"/>
  <c r="J240" i="1"/>
  <c r="J239" i="2" s="1"/>
  <c r="J241" i="1"/>
  <c r="J240" i="2" s="1"/>
  <c r="J242" i="1"/>
  <c r="J241" i="2" s="1"/>
  <c r="J243" i="1"/>
  <c r="J242" i="2" s="1"/>
  <c r="J244" i="1"/>
  <c r="J243" i="2" s="1"/>
  <c r="J245" i="1"/>
  <c r="J244" i="2" s="1"/>
  <c r="J246" i="1"/>
  <c r="J245" i="2" s="1"/>
  <c r="J247" i="1"/>
  <c r="J246" i="2" s="1"/>
  <c r="J248" i="1"/>
  <c r="J247" i="2" s="1"/>
  <c r="J249" i="1"/>
  <c r="J248" i="2" s="1"/>
  <c r="J250" i="1"/>
  <c r="J249" i="2" s="1"/>
  <c r="Q249" i="2" s="1"/>
  <c r="W249" i="2" s="1"/>
  <c r="J251" i="1"/>
  <c r="J250" i="2" s="1"/>
  <c r="J252" i="1"/>
  <c r="J251" i="2" s="1"/>
  <c r="J253" i="1"/>
  <c r="J252" i="2" s="1"/>
  <c r="J254" i="1"/>
  <c r="J253" i="2" s="1"/>
  <c r="J255" i="1"/>
  <c r="J254" i="2" s="1"/>
  <c r="J256" i="1"/>
  <c r="J255" i="2" s="1"/>
  <c r="J257" i="1"/>
  <c r="J256" i="2" s="1"/>
  <c r="J258" i="1"/>
  <c r="J257" i="2" s="1"/>
  <c r="Q257" i="2" s="1"/>
  <c r="W257" i="2" s="1"/>
  <c r="J259" i="1"/>
  <c r="J258" i="2" s="1"/>
  <c r="J260" i="1"/>
  <c r="J259" i="2" s="1"/>
  <c r="J261" i="1"/>
  <c r="J260" i="2" s="1"/>
  <c r="J262" i="1"/>
  <c r="J261" i="2" s="1"/>
  <c r="J263" i="1"/>
  <c r="J262" i="2" s="1"/>
  <c r="Q262" i="2" s="1"/>
  <c r="W262" i="2" s="1"/>
  <c r="J264" i="1"/>
  <c r="J263" i="2" s="1"/>
  <c r="Q263" i="2" s="1"/>
  <c r="J265" i="1"/>
  <c r="J264" i="2" s="1"/>
  <c r="J266" i="1"/>
  <c r="J265" i="2" s="1"/>
  <c r="J267" i="1"/>
  <c r="J266" i="2" s="1"/>
  <c r="J268" i="1"/>
  <c r="J267" i="2" s="1"/>
  <c r="J269" i="1"/>
  <c r="J268" i="2" s="1"/>
  <c r="J270" i="1"/>
  <c r="J269" i="2" s="1"/>
  <c r="J271" i="1"/>
  <c r="J270" i="2" s="1"/>
  <c r="J272" i="1"/>
  <c r="J271" i="2" s="1"/>
  <c r="J273" i="1"/>
  <c r="J272" i="2" s="1"/>
  <c r="J274" i="1"/>
  <c r="J273" i="2" s="1"/>
  <c r="Q273" i="2" s="1"/>
  <c r="W273" i="2" s="1"/>
  <c r="J275" i="1"/>
  <c r="J274" i="2" s="1"/>
  <c r="J276" i="1"/>
  <c r="J275" i="2" s="1"/>
  <c r="J277" i="1"/>
  <c r="J276" i="2" s="1"/>
  <c r="J278" i="1"/>
  <c r="J277" i="2" s="1"/>
  <c r="J279" i="1"/>
  <c r="J278" i="2" s="1"/>
  <c r="J280" i="1"/>
  <c r="J279" i="2" s="1"/>
  <c r="Q279" i="2" s="1"/>
  <c r="J281" i="1"/>
  <c r="J280" i="2" s="1"/>
  <c r="J282" i="1"/>
  <c r="J281" i="2" s="1"/>
  <c r="Q281" i="2" s="1"/>
  <c r="W281" i="2" s="1"/>
  <c r="J283" i="1"/>
  <c r="J282" i="2" s="1"/>
  <c r="J284" i="1"/>
  <c r="J283" i="2" s="1"/>
  <c r="J285" i="1"/>
  <c r="J284" i="2" s="1"/>
  <c r="J286" i="1"/>
  <c r="J285" i="2" s="1"/>
  <c r="J287" i="1"/>
  <c r="J286" i="2" s="1"/>
  <c r="J288" i="1"/>
  <c r="J287" i="2" s="1"/>
  <c r="J289" i="1"/>
  <c r="J288" i="2" s="1"/>
  <c r="J290" i="1"/>
  <c r="J289" i="2" s="1"/>
  <c r="Q289" i="2" s="1"/>
  <c r="J291" i="1"/>
  <c r="J290" i="2" s="1"/>
  <c r="J292" i="1"/>
  <c r="J291" i="2" s="1"/>
  <c r="J293" i="1"/>
  <c r="J292" i="2" s="1"/>
  <c r="J294" i="1"/>
  <c r="J293" i="2" s="1"/>
  <c r="Q293" i="2" s="1"/>
  <c r="W293" i="2" s="1"/>
  <c r="J295" i="1"/>
  <c r="J294" i="2" s="1"/>
  <c r="J296" i="1"/>
  <c r="J295" i="2" s="1"/>
  <c r="J297" i="1"/>
  <c r="J296" i="2" s="1"/>
  <c r="J298" i="1"/>
  <c r="J297" i="2" s="1"/>
  <c r="J299" i="1"/>
  <c r="J298" i="2" s="1"/>
  <c r="J300" i="1"/>
  <c r="J299" i="2" s="1"/>
  <c r="J301" i="1"/>
  <c r="J300" i="2" s="1"/>
  <c r="J302" i="1"/>
  <c r="J301" i="2" s="1"/>
  <c r="J303" i="1"/>
  <c r="J302" i="2" s="1"/>
  <c r="Q302" i="2" s="1"/>
  <c r="W302" i="2" s="1"/>
  <c r="J304" i="1"/>
  <c r="J303" i="2" s="1"/>
  <c r="J305" i="1"/>
  <c r="J304" i="2" s="1"/>
  <c r="J306" i="1"/>
  <c r="J305" i="2" s="1"/>
  <c r="J307" i="1"/>
  <c r="J306" i="2" s="1"/>
  <c r="J308" i="1"/>
  <c r="J307" i="2" s="1"/>
  <c r="J309" i="1"/>
  <c r="J308" i="2" s="1"/>
  <c r="J310" i="1"/>
  <c r="J309" i="2" s="1"/>
  <c r="J311" i="1"/>
  <c r="J310" i="2" s="1"/>
  <c r="J312" i="1"/>
  <c r="J311" i="2" s="1"/>
  <c r="J313" i="1"/>
  <c r="J312" i="2" s="1"/>
  <c r="J314" i="1"/>
  <c r="J313" i="2" s="1"/>
  <c r="J315" i="1"/>
  <c r="J314" i="2" s="1"/>
  <c r="J316" i="1"/>
  <c r="J315" i="2" s="1"/>
  <c r="Q315" i="2" s="1"/>
  <c r="W315" i="2" s="1"/>
  <c r="J317" i="1"/>
  <c r="J316" i="2" s="1"/>
  <c r="J318" i="1"/>
  <c r="J317" i="2" s="1"/>
  <c r="Q317" i="2" s="1"/>
  <c r="W317" i="2" s="1"/>
  <c r="J319" i="1"/>
  <c r="J318" i="2" s="1"/>
  <c r="J320" i="1"/>
  <c r="J319" i="2" s="1"/>
  <c r="J321" i="1"/>
  <c r="J320" i="2" s="1"/>
  <c r="J322" i="1"/>
  <c r="J321" i="2" s="1"/>
  <c r="J323" i="1"/>
  <c r="J322" i="2" s="1"/>
  <c r="J324" i="1"/>
  <c r="J323" i="2" s="1"/>
  <c r="J325" i="1"/>
  <c r="J324" i="2" s="1"/>
  <c r="J326" i="1"/>
  <c r="J325" i="2" s="1"/>
  <c r="J327" i="1"/>
  <c r="J326" i="2" s="1"/>
  <c r="J328" i="1"/>
  <c r="J327" i="2" s="1"/>
  <c r="Q327" i="2" s="1"/>
  <c r="J329" i="1"/>
  <c r="J328" i="2" s="1"/>
  <c r="J330" i="1"/>
  <c r="J329" i="2" s="1"/>
  <c r="J331" i="1"/>
  <c r="J330" i="2" s="1"/>
  <c r="J332" i="1"/>
  <c r="J331" i="2" s="1"/>
  <c r="J333" i="1"/>
  <c r="J332" i="2" s="1"/>
  <c r="J334" i="1"/>
  <c r="J333" i="2" s="1"/>
  <c r="J335" i="1"/>
  <c r="J334" i="2" s="1"/>
  <c r="J336" i="1"/>
  <c r="J335" i="2" s="1"/>
  <c r="Q335" i="2" s="1"/>
  <c r="W335" i="2" s="1"/>
  <c r="J337" i="1"/>
  <c r="J336" i="2" s="1"/>
  <c r="J338" i="1"/>
  <c r="J337" i="2" s="1"/>
  <c r="J339" i="1"/>
  <c r="J338" i="2" s="1"/>
  <c r="J340" i="1"/>
  <c r="J339" i="2" s="1"/>
  <c r="J341" i="1"/>
  <c r="J340" i="2" s="1"/>
  <c r="J342" i="1"/>
  <c r="J341" i="2" s="1"/>
  <c r="J343" i="1"/>
  <c r="J342" i="2" s="1"/>
  <c r="J344" i="1"/>
  <c r="J343" i="2" s="1"/>
  <c r="J345" i="1"/>
  <c r="J344" i="2" s="1"/>
  <c r="J346" i="1"/>
  <c r="J345" i="2" s="1"/>
  <c r="J347" i="1"/>
  <c r="J346" i="2" s="1"/>
  <c r="Q346" i="2" s="1"/>
  <c r="J348" i="1"/>
  <c r="J347" i="2" s="1"/>
  <c r="J349" i="1"/>
  <c r="J348" i="2" s="1"/>
  <c r="J350" i="1"/>
  <c r="J349" i="2" s="1"/>
  <c r="J351" i="1"/>
  <c r="J350" i="2" s="1"/>
  <c r="J352" i="1"/>
  <c r="J351" i="2" s="1"/>
  <c r="J353" i="1"/>
  <c r="J352" i="2" s="1"/>
  <c r="J354" i="1"/>
  <c r="J353" i="2" s="1"/>
  <c r="J355" i="1"/>
  <c r="J354" i="2" s="1"/>
  <c r="J356" i="1"/>
  <c r="J355" i="2" s="1"/>
  <c r="J357" i="1"/>
  <c r="J356" i="2" s="1"/>
  <c r="J358" i="1"/>
  <c r="J357" i="2" s="1"/>
  <c r="J359" i="1"/>
  <c r="J358" i="2" s="1"/>
  <c r="J360" i="1"/>
  <c r="J359" i="2" s="1"/>
  <c r="Q359" i="2" s="1"/>
  <c r="W359" i="2" s="1"/>
  <c r="J361" i="1"/>
  <c r="J360" i="2" s="1"/>
  <c r="J362" i="1"/>
  <c r="J361" i="2" s="1"/>
  <c r="J363" i="1"/>
  <c r="J362" i="2" s="1"/>
  <c r="J364" i="1"/>
  <c r="J363" i="2" s="1"/>
  <c r="J365" i="1"/>
  <c r="J364" i="2" s="1"/>
  <c r="J366" i="1"/>
  <c r="J365" i="2" s="1"/>
  <c r="J367" i="1"/>
  <c r="J366" i="2" s="1"/>
  <c r="J368" i="1"/>
  <c r="J367" i="2" s="1"/>
  <c r="J369" i="1"/>
  <c r="J368" i="2" s="1"/>
  <c r="J370" i="1"/>
  <c r="J369" i="2" s="1"/>
  <c r="Q369" i="2" s="1"/>
  <c r="W369" i="2" s="1"/>
  <c r="J371" i="1"/>
  <c r="J370" i="2" s="1"/>
  <c r="J372" i="1"/>
  <c r="J371" i="2" s="1"/>
  <c r="J373" i="1"/>
  <c r="J372" i="2" s="1"/>
  <c r="J374" i="1"/>
  <c r="J373" i="2" s="1"/>
  <c r="J375" i="1"/>
  <c r="J374" i="2" s="1"/>
  <c r="J376" i="1"/>
  <c r="J375" i="2" s="1"/>
  <c r="J377" i="1"/>
  <c r="J376" i="2" s="1"/>
  <c r="J378" i="1"/>
  <c r="J377" i="2" s="1"/>
  <c r="Q377" i="2" s="1"/>
  <c r="W377" i="2" s="1"/>
  <c r="J379" i="1"/>
  <c r="J378" i="2" s="1"/>
  <c r="J380" i="1"/>
  <c r="J379" i="2" s="1"/>
  <c r="J381" i="1"/>
  <c r="J380" i="2" s="1"/>
  <c r="J382" i="1"/>
  <c r="J381" i="2" s="1"/>
  <c r="J383" i="1"/>
  <c r="J382" i="2" s="1"/>
  <c r="J384" i="1"/>
  <c r="J383" i="2" s="1"/>
  <c r="Q383" i="2" s="1"/>
  <c r="W383" i="2" s="1"/>
  <c r="J385" i="1"/>
  <c r="J384" i="2" s="1"/>
  <c r="J386" i="1"/>
  <c r="J385" i="2" s="1"/>
  <c r="Q385" i="2" s="1"/>
  <c r="W385" i="2" s="1"/>
  <c r="J387" i="1"/>
  <c r="J386" i="2" s="1"/>
  <c r="J388" i="1"/>
  <c r="J387" i="2" s="1"/>
  <c r="J389" i="1"/>
  <c r="J388" i="2" s="1"/>
  <c r="J390" i="1"/>
  <c r="J389" i="2" s="1"/>
  <c r="J391" i="1"/>
  <c r="J390" i="2" s="1"/>
  <c r="J392" i="1"/>
  <c r="J391" i="2" s="1"/>
  <c r="J393" i="1"/>
  <c r="J392" i="2" s="1"/>
  <c r="J394" i="1"/>
  <c r="J393" i="2" s="1"/>
  <c r="Q393" i="2" s="1"/>
  <c r="W393" i="2" s="1"/>
  <c r="J395" i="1"/>
  <c r="J394" i="2" s="1"/>
  <c r="J396" i="1"/>
  <c r="J395" i="2" s="1"/>
  <c r="J397" i="1"/>
  <c r="J396" i="2" s="1"/>
  <c r="J398" i="1"/>
  <c r="J397" i="2" s="1"/>
  <c r="J399" i="1"/>
  <c r="J398" i="2" s="1"/>
  <c r="J400" i="1"/>
  <c r="J399" i="2" s="1"/>
  <c r="J401" i="1"/>
  <c r="J400" i="2" s="1"/>
  <c r="J402" i="1"/>
  <c r="J401" i="2" s="1"/>
  <c r="J403" i="1"/>
  <c r="J402" i="2" s="1"/>
  <c r="J404" i="1"/>
  <c r="J403" i="2" s="1"/>
  <c r="J405" i="1"/>
  <c r="J404" i="2" s="1"/>
  <c r="J406" i="1"/>
  <c r="J405" i="2" s="1"/>
  <c r="J407" i="1"/>
  <c r="J406" i="2" s="1"/>
  <c r="Q406" i="2" s="1"/>
  <c r="V406" i="2" s="1"/>
  <c r="J408" i="1"/>
  <c r="J407" i="2" s="1"/>
  <c r="J409" i="1"/>
  <c r="J408" i="2" s="1"/>
  <c r="J410" i="1"/>
  <c r="J409" i="2" s="1"/>
  <c r="J411" i="1"/>
  <c r="J410" i="2" s="1"/>
  <c r="J412" i="1"/>
  <c r="J411" i="2" s="1"/>
  <c r="J413" i="1"/>
  <c r="J412" i="2" s="1"/>
  <c r="J414" i="1"/>
  <c r="J413" i="2" s="1"/>
  <c r="J415" i="1"/>
  <c r="J414" i="2" s="1"/>
  <c r="J416" i="1"/>
  <c r="J415" i="2" s="1"/>
  <c r="J417" i="1"/>
  <c r="J416" i="2" s="1"/>
  <c r="J418" i="1"/>
  <c r="J417" i="2" s="1"/>
  <c r="J419" i="1"/>
  <c r="J418" i="2" s="1"/>
  <c r="J420" i="1"/>
  <c r="J419" i="2" s="1"/>
  <c r="J421" i="1"/>
  <c r="J420" i="2" s="1"/>
  <c r="J422" i="1"/>
  <c r="J421" i="2" s="1"/>
  <c r="J423" i="1"/>
  <c r="J422" i="2" s="1"/>
  <c r="Q422" i="2" s="1"/>
  <c r="V422" i="2" s="1"/>
  <c r="J424" i="1"/>
  <c r="J423" i="2" s="1"/>
  <c r="J425" i="1"/>
  <c r="J424" i="2" s="1"/>
  <c r="J426" i="1"/>
  <c r="J425" i="2" s="1"/>
  <c r="J427" i="1"/>
  <c r="J426" i="2" s="1"/>
  <c r="J428" i="1"/>
  <c r="J427" i="2" s="1"/>
  <c r="J429" i="1"/>
  <c r="J428" i="2" s="1"/>
  <c r="J430" i="1"/>
  <c r="J429" i="2" s="1"/>
  <c r="J431" i="1"/>
  <c r="J430" i="2" s="1"/>
  <c r="J432" i="1"/>
  <c r="J431" i="2" s="1"/>
  <c r="J433" i="1"/>
  <c r="J432" i="2" s="1"/>
  <c r="J434" i="1"/>
  <c r="J433" i="2" s="1"/>
  <c r="J435" i="1"/>
  <c r="J434" i="2" s="1"/>
  <c r="J436" i="1"/>
  <c r="J435" i="2" s="1"/>
  <c r="J437" i="1"/>
  <c r="J436" i="2" s="1"/>
  <c r="J438" i="1"/>
  <c r="J437" i="2" s="1"/>
  <c r="J439" i="1"/>
  <c r="J438" i="2" s="1"/>
  <c r="J440" i="1"/>
  <c r="J439" i="2" s="1"/>
  <c r="J441" i="1"/>
  <c r="J440" i="2" s="1"/>
  <c r="J442" i="1"/>
  <c r="J441" i="2" s="1"/>
  <c r="J443" i="1"/>
  <c r="J442" i="2" s="1"/>
  <c r="J444" i="1"/>
  <c r="J443" i="2" s="1"/>
  <c r="J445" i="1"/>
  <c r="J444" i="2" s="1"/>
  <c r="J446" i="1"/>
  <c r="J445" i="2" s="1"/>
  <c r="J447" i="1"/>
  <c r="J446" i="2" s="1"/>
  <c r="J448" i="1"/>
  <c r="J447" i="2" s="1"/>
  <c r="J449" i="1"/>
  <c r="J448" i="2" s="1"/>
  <c r="J450" i="1"/>
  <c r="J449" i="2" s="1"/>
  <c r="J451" i="1"/>
  <c r="J450" i="2" s="1"/>
  <c r="J452" i="1"/>
  <c r="J451" i="2" s="1"/>
  <c r="J453" i="1"/>
  <c r="J452" i="2" s="1"/>
  <c r="J454" i="1"/>
  <c r="J453" i="2" s="1"/>
  <c r="J455" i="1"/>
  <c r="J454" i="2" s="1"/>
  <c r="J456" i="1"/>
  <c r="J455" i="2" s="1"/>
  <c r="J457" i="1"/>
  <c r="J456" i="2" s="1"/>
  <c r="J458" i="1"/>
  <c r="J457" i="2" s="1"/>
  <c r="J459" i="1"/>
  <c r="J458" i="2" s="1"/>
  <c r="J460" i="1"/>
  <c r="J459" i="2" s="1"/>
  <c r="J461" i="1"/>
  <c r="J460" i="2" s="1"/>
  <c r="J462" i="1"/>
  <c r="J461" i="2" s="1"/>
  <c r="J463" i="1"/>
  <c r="J462" i="2" s="1"/>
  <c r="J464" i="1"/>
  <c r="J463" i="2" s="1"/>
  <c r="J465" i="1"/>
  <c r="J464" i="2" s="1"/>
  <c r="J466" i="1"/>
  <c r="J465" i="2" s="1"/>
  <c r="J467" i="1"/>
  <c r="J466" i="2" s="1"/>
  <c r="J468" i="1"/>
  <c r="J467" i="2" s="1"/>
  <c r="J469" i="1"/>
  <c r="J468" i="2" s="1"/>
  <c r="J470" i="1"/>
  <c r="J469" i="2" s="1"/>
  <c r="J471" i="1"/>
  <c r="J470" i="2" s="1"/>
  <c r="J472" i="1"/>
  <c r="J471" i="2" s="1"/>
  <c r="J473" i="1"/>
  <c r="J472" i="2" s="1"/>
  <c r="J474" i="1"/>
  <c r="J473" i="2" s="1"/>
  <c r="J475" i="1"/>
  <c r="J474" i="2" s="1"/>
  <c r="J476" i="1"/>
  <c r="J475" i="2" s="1"/>
  <c r="J477" i="1"/>
  <c r="J476" i="2" s="1"/>
  <c r="J478" i="1"/>
  <c r="J477" i="2" s="1"/>
  <c r="J479" i="1"/>
  <c r="J478" i="2" s="1"/>
  <c r="J480" i="1"/>
  <c r="J479" i="2" s="1"/>
  <c r="J481" i="1"/>
  <c r="J480" i="2" s="1"/>
  <c r="J482" i="1"/>
  <c r="J481" i="2" s="1"/>
  <c r="J483" i="1"/>
  <c r="J482" i="2" s="1"/>
  <c r="J484" i="1"/>
  <c r="J483" i="2" s="1"/>
  <c r="J485" i="1"/>
  <c r="J484" i="2" s="1"/>
  <c r="J486" i="1"/>
  <c r="J485" i="2" s="1"/>
  <c r="J487" i="1"/>
  <c r="J486" i="2" s="1"/>
  <c r="J488" i="1"/>
  <c r="J487" i="2" s="1"/>
  <c r="J489" i="1"/>
  <c r="J488" i="2" s="1"/>
  <c r="J490" i="1"/>
  <c r="J489" i="2" s="1"/>
  <c r="J491" i="1"/>
  <c r="J490" i="2" s="1"/>
  <c r="J492" i="1"/>
  <c r="J491" i="2" s="1"/>
  <c r="J493" i="1"/>
  <c r="J492" i="2" s="1"/>
  <c r="J494" i="1"/>
  <c r="J493" i="2" s="1"/>
  <c r="J495" i="1"/>
  <c r="J494" i="2" s="1"/>
  <c r="J496" i="1"/>
  <c r="J495" i="2" s="1"/>
  <c r="J497" i="1"/>
  <c r="J496" i="2" s="1"/>
  <c r="J498" i="1"/>
  <c r="J497" i="2" s="1"/>
  <c r="J499" i="1"/>
  <c r="J498" i="2" s="1"/>
  <c r="J500" i="1"/>
  <c r="J499" i="2" s="1"/>
  <c r="J501" i="1"/>
  <c r="J500" i="2" s="1"/>
  <c r="J502" i="1"/>
  <c r="J503" i="1"/>
  <c r="J504" i="1"/>
  <c r="J505" i="1"/>
  <c r="O7" i="1"/>
  <c r="O6" i="2" s="1"/>
  <c r="O8" i="1"/>
  <c r="O7" i="2" s="1"/>
  <c r="O9" i="1"/>
  <c r="O8" i="2" s="1"/>
  <c r="O10" i="1"/>
  <c r="O9" i="2" s="1"/>
  <c r="O11" i="1"/>
  <c r="O10" i="2" s="1"/>
  <c r="O12" i="1"/>
  <c r="O11" i="2" s="1"/>
  <c r="O13" i="1"/>
  <c r="O12" i="2" s="1"/>
  <c r="O14" i="1"/>
  <c r="O13" i="2" s="1"/>
  <c r="O15" i="1"/>
  <c r="O14" i="2" s="1"/>
  <c r="O16" i="1"/>
  <c r="O15" i="2" s="1"/>
  <c r="O17" i="1"/>
  <c r="O16" i="2" s="1"/>
  <c r="O18" i="1"/>
  <c r="O17" i="2" s="1"/>
  <c r="O19" i="1"/>
  <c r="O18" i="2" s="1"/>
  <c r="O20" i="1"/>
  <c r="O19" i="2" s="1"/>
  <c r="O21" i="1"/>
  <c r="O20" i="2" s="1"/>
  <c r="O22" i="1"/>
  <c r="O21" i="2" s="1"/>
  <c r="O23" i="1"/>
  <c r="O22" i="2" s="1"/>
  <c r="O24" i="1"/>
  <c r="O23" i="2" s="1"/>
  <c r="O25" i="1"/>
  <c r="O24" i="2" s="1"/>
  <c r="O26" i="1"/>
  <c r="O25" i="2" s="1"/>
  <c r="O27" i="1"/>
  <c r="O26" i="2" s="1"/>
  <c r="O28" i="1"/>
  <c r="O27" i="2" s="1"/>
  <c r="O29" i="1"/>
  <c r="O28" i="2" s="1"/>
  <c r="O30" i="1"/>
  <c r="O29" i="2" s="1"/>
  <c r="O31" i="1"/>
  <c r="O30" i="2" s="1"/>
  <c r="O32" i="1"/>
  <c r="O31" i="2" s="1"/>
  <c r="O33" i="1"/>
  <c r="O32" i="2" s="1"/>
  <c r="O34" i="1"/>
  <c r="O33" i="2" s="1"/>
  <c r="O35" i="1"/>
  <c r="O34" i="2" s="1"/>
  <c r="O36" i="1"/>
  <c r="O35" i="2" s="1"/>
  <c r="O37" i="1"/>
  <c r="O36" i="2" s="1"/>
  <c r="O38" i="1"/>
  <c r="O37" i="2" s="1"/>
  <c r="O39" i="1"/>
  <c r="O38" i="2" s="1"/>
  <c r="O40" i="1"/>
  <c r="O39" i="2" s="1"/>
  <c r="O41" i="1"/>
  <c r="O40" i="2" s="1"/>
  <c r="O42" i="1"/>
  <c r="O41" i="2" s="1"/>
  <c r="O43" i="1"/>
  <c r="O42" i="2" s="1"/>
  <c r="O44" i="1"/>
  <c r="O43" i="2" s="1"/>
  <c r="O45" i="1"/>
  <c r="O44" i="2" s="1"/>
  <c r="O46" i="1"/>
  <c r="O45" i="2" s="1"/>
  <c r="O47" i="1"/>
  <c r="O46" i="2" s="1"/>
  <c r="O48" i="1"/>
  <c r="O47" i="2" s="1"/>
  <c r="O49" i="1"/>
  <c r="O48" i="2" s="1"/>
  <c r="O50" i="1"/>
  <c r="O49" i="2" s="1"/>
  <c r="O51" i="1"/>
  <c r="O50" i="2" s="1"/>
  <c r="O52" i="1"/>
  <c r="O51" i="2" s="1"/>
  <c r="O53" i="1"/>
  <c r="O52" i="2" s="1"/>
  <c r="O54" i="1"/>
  <c r="O53" i="2" s="1"/>
  <c r="O55" i="1"/>
  <c r="O54" i="2" s="1"/>
  <c r="O56" i="1"/>
  <c r="O55" i="2" s="1"/>
  <c r="O57" i="1"/>
  <c r="O56" i="2" s="1"/>
  <c r="O58" i="1"/>
  <c r="O57" i="2" s="1"/>
  <c r="O59" i="1"/>
  <c r="O58" i="2" s="1"/>
  <c r="O60" i="1"/>
  <c r="O59" i="2" s="1"/>
  <c r="O61" i="1"/>
  <c r="O60" i="2" s="1"/>
  <c r="O62" i="1"/>
  <c r="O61" i="2" s="1"/>
  <c r="O63" i="1"/>
  <c r="O62" i="2" s="1"/>
  <c r="O64" i="1"/>
  <c r="O63" i="2" s="1"/>
  <c r="O65" i="1"/>
  <c r="O64" i="2" s="1"/>
  <c r="O66" i="1"/>
  <c r="O65" i="2" s="1"/>
  <c r="O67" i="1"/>
  <c r="O66" i="2" s="1"/>
  <c r="O68" i="1"/>
  <c r="O67" i="2" s="1"/>
  <c r="O69" i="1"/>
  <c r="O68" i="2" s="1"/>
  <c r="O70" i="1"/>
  <c r="O69" i="2" s="1"/>
  <c r="O71" i="1"/>
  <c r="O70" i="2" s="1"/>
  <c r="O72" i="1"/>
  <c r="O71" i="2" s="1"/>
  <c r="O73" i="1"/>
  <c r="O72" i="2" s="1"/>
  <c r="O74" i="1"/>
  <c r="O73" i="2" s="1"/>
  <c r="O75" i="1"/>
  <c r="O74" i="2" s="1"/>
  <c r="O76" i="1"/>
  <c r="O75" i="2" s="1"/>
  <c r="O77" i="1"/>
  <c r="O76" i="2" s="1"/>
  <c r="O78" i="1"/>
  <c r="O77" i="2" s="1"/>
  <c r="O79" i="1"/>
  <c r="O78" i="2" s="1"/>
  <c r="O80" i="1"/>
  <c r="O79" i="2" s="1"/>
  <c r="O81" i="1"/>
  <c r="O80" i="2" s="1"/>
  <c r="O82" i="1"/>
  <c r="O81" i="2" s="1"/>
  <c r="O83" i="1"/>
  <c r="O82" i="2" s="1"/>
  <c r="O84" i="1"/>
  <c r="O83" i="2" s="1"/>
  <c r="O85" i="1"/>
  <c r="O84" i="2" s="1"/>
  <c r="O86" i="1"/>
  <c r="O85" i="2" s="1"/>
  <c r="O87" i="1"/>
  <c r="O86" i="2" s="1"/>
  <c r="O88" i="1"/>
  <c r="O87" i="2" s="1"/>
  <c r="O89" i="1"/>
  <c r="O88" i="2" s="1"/>
  <c r="O90" i="1"/>
  <c r="O89" i="2" s="1"/>
  <c r="O91" i="1"/>
  <c r="O90" i="2" s="1"/>
  <c r="O92" i="1"/>
  <c r="O91" i="2" s="1"/>
  <c r="O93" i="1"/>
  <c r="O92" i="2" s="1"/>
  <c r="O94" i="1"/>
  <c r="O93" i="2" s="1"/>
  <c r="O95" i="1"/>
  <c r="O94" i="2" s="1"/>
  <c r="O96" i="1"/>
  <c r="O95" i="2" s="1"/>
  <c r="O97" i="1"/>
  <c r="O96" i="2" s="1"/>
  <c r="O98" i="1"/>
  <c r="O97" i="2" s="1"/>
  <c r="O99" i="1"/>
  <c r="O98" i="2" s="1"/>
  <c r="O100" i="1"/>
  <c r="O99" i="2" s="1"/>
  <c r="O101" i="1"/>
  <c r="O100" i="2" s="1"/>
  <c r="O102" i="1"/>
  <c r="O101" i="2" s="1"/>
  <c r="O103" i="1"/>
  <c r="O102" i="2" s="1"/>
  <c r="O104" i="1"/>
  <c r="O103" i="2" s="1"/>
  <c r="O105" i="1"/>
  <c r="O104" i="2" s="1"/>
  <c r="O106" i="1"/>
  <c r="O105" i="2" s="1"/>
  <c r="O107" i="1"/>
  <c r="O106" i="2" s="1"/>
  <c r="O108" i="1"/>
  <c r="O107" i="2" s="1"/>
  <c r="O109" i="1"/>
  <c r="O108" i="2" s="1"/>
  <c r="O110" i="1"/>
  <c r="O109" i="2" s="1"/>
  <c r="O111" i="1"/>
  <c r="O110" i="2" s="1"/>
  <c r="O112" i="1"/>
  <c r="O111" i="2" s="1"/>
  <c r="O113" i="1"/>
  <c r="O112" i="2" s="1"/>
  <c r="O114" i="1"/>
  <c r="O113" i="2" s="1"/>
  <c r="O115" i="1"/>
  <c r="O114" i="2" s="1"/>
  <c r="O116" i="1"/>
  <c r="O115" i="2" s="1"/>
  <c r="O117" i="1"/>
  <c r="O116" i="2" s="1"/>
  <c r="O118" i="1"/>
  <c r="O117" i="2" s="1"/>
  <c r="O119" i="1"/>
  <c r="O118" i="2" s="1"/>
  <c r="O120" i="1"/>
  <c r="O119" i="2" s="1"/>
  <c r="O121" i="1"/>
  <c r="O120" i="2" s="1"/>
  <c r="O122" i="1"/>
  <c r="O121" i="2" s="1"/>
  <c r="O123" i="1"/>
  <c r="O122" i="2" s="1"/>
  <c r="O124" i="1"/>
  <c r="O123" i="2" s="1"/>
  <c r="O125" i="1"/>
  <c r="O124" i="2" s="1"/>
  <c r="O126" i="1"/>
  <c r="O125" i="2" s="1"/>
  <c r="O127" i="1"/>
  <c r="O126" i="2" s="1"/>
  <c r="O128" i="1"/>
  <c r="O127" i="2" s="1"/>
  <c r="O129" i="1"/>
  <c r="O128" i="2" s="1"/>
  <c r="O130" i="1"/>
  <c r="O129" i="2" s="1"/>
  <c r="O131" i="1"/>
  <c r="O130" i="2" s="1"/>
  <c r="O132" i="1"/>
  <c r="O131" i="2" s="1"/>
  <c r="O133" i="1"/>
  <c r="O132" i="2" s="1"/>
  <c r="O134" i="1"/>
  <c r="O133" i="2" s="1"/>
  <c r="O135" i="1"/>
  <c r="O134" i="2" s="1"/>
  <c r="O136" i="1"/>
  <c r="O135" i="2" s="1"/>
  <c r="O137" i="1"/>
  <c r="O136" i="2" s="1"/>
  <c r="O138" i="1"/>
  <c r="O137" i="2" s="1"/>
  <c r="O139" i="1"/>
  <c r="O138" i="2" s="1"/>
  <c r="O140" i="1"/>
  <c r="O139" i="2" s="1"/>
  <c r="O141" i="1"/>
  <c r="O140" i="2" s="1"/>
  <c r="O142" i="1"/>
  <c r="O141" i="2" s="1"/>
  <c r="O143" i="1"/>
  <c r="O142" i="2" s="1"/>
  <c r="O144" i="1"/>
  <c r="O143" i="2" s="1"/>
  <c r="O145" i="1"/>
  <c r="O144" i="2" s="1"/>
  <c r="O146" i="1"/>
  <c r="O145" i="2" s="1"/>
  <c r="O147" i="1"/>
  <c r="O146" i="2" s="1"/>
  <c r="O148" i="1"/>
  <c r="O147" i="2" s="1"/>
  <c r="O149" i="1"/>
  <c r="O148" i="2" s="1"/>
  <c r="O150" i="1"/>
  <c r="O149" i="2" s="1"/>
  <c r="O151" i="1"/>
  <c r="O150" i="2" s="1"/>
  <c r="O152" i="1"/>
  <c r="O151" i="2" s="1"/>
  <c r="O153" i="1"/>
  <c r="O152" i="2" s="1"/>
  <c r="O154" i="1"/>
  <c r="O153" i="2" s="1"/>
  <c r="O155" i="1"/>
  <c r="O154" i="2" s="1"/>
  <c r="O156" i="1"/>
  <c r="O155" i="2" s="1"/>
  <c r="O157" i="1"/>
  <c r="O156" i="2" s="1"/>
  <c r="O158" i="1"/>
  <c r="O157" i="2" s="1"/>
  <c r="O159" i="1"/>
  <c r="O158" i="2" s="1"/>
  <c r="O160" i="1"/>
  <c r="O159" i="2" s="1"/>
  <c r="O161" i="1"/>
  <c r="O160" i="2" s="1"/>
  <c r="O162" i="1"/>
  <c r="O161" i="2" s="1"/>
  <c r="O163" i="1"/>
  <c r="O162" i="2" s="1"/>
  <c r="O164" i="1"/>
  <c r="O163" i="2" s="1"/>
  <c r="O165" i="1"/>
  <c r="O164" i="2" s="1"/>
  <c r="O166" i="1"/>
  <c r="O165" i="2" s="1"/>
  <c r="O167" i="1"/>
  <c r="O166" i="2" s="1"/>
  <c r="O168" i="1"/>
  <c r="O167" i="2" s="1"/>
  <c r="O169" i="1"/>
  <c r="O168" i="2" s="1"/>
  <c r="O170" i="1"/>
  <c r="O169" i="2" s="1"/>
  <c r="O171" i="1"/>
  <c r="O170" i="2" s="1"/>
  <c r="O172" i="1"/>
  <c r="O171" i="2" s="1"/>
  <c r="O173" i="1"/>
  <c r="O172" i="2" s="1"/>
  <c r="O174" i="1"/>
  <c r="O173" i="2" s="1"/>
  <c r="O175" i="1"/>
  <c r="O174" i="2" s="1"/>
  <c r="O176" i="1"/>
  <c r="O175" i="2" s="1"/>
  <c r="O177" i="1"/>
  <c r="O176" i="2" s="1"/>
  <c r="O178" i="1"/>
  <c r="O177" i="2" s="1"/>
  <c r="O179" i="1"/>
  <c r="O178" i="2" s="1"/>
  <c r="O180" i="1"/>
  <c r="O179" i="2" s="1"/>
  <c r="O181" i="1"/>
  <c r="O180" i="2" s="1"/>
  <c r="O182" i="1"/>
  <c r="O181" i="2" s="1"/>
  <c r="O183" i="1"/>
  <c r="O182" i="2" s="1"/>
  <c r="O184" i="1"/>
  <c r="O183" i="2" s="1"/>
  <c r="O185" i="1"/>
  <c r="O184" i="2" s="1"/>
  <c r="O186" i="1"/>
  <c r="O185" i="2" s="1"/>
  <c r="O187" i="1"/>
  <c r="O186" i="2" s="1"/>
  <c r="O188" i="1"/>
  <c r="O187" i="2" s="1"/>
  <c r="O189" i="1"/>
  <c r="O188" i="2" s="1"/>
  <c r="O190" i="1"/>
  <c r="O189" i="2" s="1"/>
  <c r="O191" i="1"/>
  <c r="O190" i="2" s="1"/>
  <c r="O192" i="1"/>
  <c r="O191" i="2" s="1"/>
  <c r="O193" i="1"/>
  <c r="O192" i="2" s="1"/>
  <c r="O194" i="1"/>
  <c r="O193" i="2" s="1"/>
  <c r="O195" i="1"/>
  <c r="O194" i="2" s="1"/>
  <c r="O196" i="1"/>
  <c r="O195" i="2" s="1"/>
  <c r="O197" i="1"/>
  <c r="O196" i="2" s="1"/>
  <c r="O198" i="1"/>
  <c r="O197" i="2" s="1"/>
  <c r="O199" i="1"/>
  <c r="O198" i="2" s="1"/>
  <c r="O200" i="1"/>
  <c r="O199" i="2" s="1"/>
  <c r="O201" i="1"/>
  <c r="O200" i="2" s="1"/>
  <c r="O202" i="1"/>
  <c r="O201" i="2" s="1"/>
  <c r="O203" i="1"/>
  <c r="O202" i="2" s="1"/>
  <c r="O204" i="1"/>
  <c r="O203" i="2" s="1"/>
  <c r="O205" i="1"/>
  <c r="O204" i="2" s="1"/>
  <c r="O206" i="1"/>
  <c r="O205" i="2" s="1"/>
  <c r="O207" i="1"/>
  <c r="O206" i="2" s="1"/>
  <c r="O208" i="1"/>
  <c r="O207" i="2" s="1"/>
  <c r="O209" i="1"/>
  <c r="O208" i="2" s="1"/>
  <c r="O210" i="1"/>
  <c r="O209" i="2" s="1"/>
  <c r="O211" i="1"/>
  <c r="O210" i="2" s="1"/>
  <c r="O212" i="1"/>
  <c r="O211" i="2" s="1"/>
  <c r="O213" i="1"/>
  <c r="O212" i="2" s="1"/>
  <c r="O214" i="1"/>
  <c r="O213" i="2" s="1"/>
  <c r="O215" i="1"/>
  <c r="O214" i="2" s="1"/>
  <c r="O216" i="1"/>
  <c r="O215" i="2" s="1"/>
  <c r="O217" i="1"/>
  <c r="O216" i="2" s="1"/>
  <c r="O218" i="1"/>
  <c r="O217" i="2" s="1"/>
  <c r="O219" i="1"/>
  <c r="O218" i="2" s="1"/>
  <c r="O220" i="1"/>
  <c r="O219" i="2" s="1"/>
  <c r="O221" i="1"/>
  <c r="O220" i="2" s="1"/>
  <c r="O222" i="1"/>
  <c r="O221" i="2" s="1"/>
  <c r="O223" i="1"/>
  <c r="O222" i="2" s="1"/>
  <c r="O224" i="1"/>
  <c r="O223" i="2" s="1"/>
  <c r="O225" i="1"/>
  <c r="O224" i="2" s="1"/>
  <c r="O226" i="1"/>
  <c r="O225" i="2" s="1"/>
  <c r="O227" i="1"/>
  <c r="O226" i="2" s="1"/>
  <c r="O228" i="1"/>
  <c r="O227" i="2" s="1"/>
  <c r="O229" i="1"/>
  <c r="O228" i="2" s="1"/>
  <c r="O230" i="1"/>
  <c r="O229" i="2" s="1"/>
  <c r="O231" i="1"/>
  <c r="O230" i="2" s="1"/>
  <c r="O232" i="1"/>
  <c r="O231" i="2" s="1"/>
  <c r="O233" i="1"/>
  <c r="O232" i="2" s="1"/>
  <c r="O234" i="1"/>
  <c r="O233" i="2" s="1"/>
  <c r="O235" i="1"/>
  <c r="O234" i="2" s="1"/>
  <c r="O236" i="1"/>
  <c r="O235" i="2" s="1"/>
  <c r="O237" i="1"/>
  <c r="O236" i="2" s="1"/>
  <c r="O238" i="1"/>
  <c r="O237" i="2" s="1"/>
  <c r="O239" i="1"/>
  <c r="O238" i="2" s="1"/>
  <c r="O240" i="1"/>
  <c r="O239" i="2" s="1"/>
  <c r="O241" i="1"/>
  <c r="O240" i="2" s="1"/>
  <c r="O242" i="1"/>
  <c r="O241" i="2" s="1"/>
  <c r="O243" i="1"/>
  <c r="O242" i="2" s="1"/>
  <c r="O244" i="1"/>
  <c r="O243" i="2" s="1"/>
  <c r="O245" i="1"/>
  <c r="O244" i="2" s="1"/>
  <c r="O246" i="1"/>
  <c r="O245" i="2" s="1"/>
  <c r="O247" i="1"/>
  <c r="O246" i="2" s="1"/>
  <c r="O248" i="1"/>
  <c r="O247" i="2" s="1"/>
  <c r="O249" i="1"/>
  <c r="O248" i="2" s="1"/>
  <c r="O250" i="1"/>
  <c r="O249" i="2" s="1"/>
  <c r="O251" i="1"/>
  <c r="O250" i="2" s="1"/>
  <c r="O252" i="1"/>
  <c r="O251" i="2" s="1"/>
  <c r="O253" i="1"/>
  <c r="O252" i="2" s="1"/>
  <c r="O254" i="1"/>
  <c r="O253" i="2" s="1"/>
  <c r="O255" i="1"/>
  <c r="O254" i="2" s="1"/>
  <c r="O256" i="1"/>
  <c r="O255" i="2" s="1"/>
  <c r="O257" i="1"/>
  <c r="O256" i="2" s="1"/>
  <c r="O258" i="1"/>
  <c r="O257" i="2" s="1"/>
  <c r="O259" i="1"/>
  <c r="O258" i="2" s="1"/>
  <c r="O260" i="1"/>
  <c r="O259" i="2" s="1"/>
  <c r="O261" i="1"/>
  <c r="O260" i="2" s="1"/>
  <c r="O262" i="1"/>
  <c r="O261" i="2" s="1"/>
  <c r="O263" i="1"/>
  <c r="O262" i="2" s="1"/>
  <c r="O264" i="1"/>
  <c r="O263" i="2" s="1"/>
  <c r="O265" i="1"/>
  <c r="O264" i="2" s="1"/>
  <c r="O266" i="1"/>
  <c r="O265" i="2" s="1"/>
  <c r="O267" i="1"/>
  <c r="O266" i="2" s="1"/>
  <c r="O268" i="1"/>
  <c r="O267" i="2" s="1"/>
  <c r="O269" i="1"/>
  <c r="O268" i="2" s="1"/>
  <c r="O270" i="1"/>
  <c r="O269" i="2" s="1"/>
  <c r="O271" i="1"/>
  <c r="O270" i="2" s="1"/>
  <c r="O272" i="1"/>
  <c r="O271" i="2" s="1"/>
  <c r="O273" i="1"/>
  <c r="O272" i="2" s="1"/>
  <c r="O274" i="1"/>
  <c r="O273" i="2" s="1"/>
  <c r="O275" i="1"/>
  <c r="O274" i="2" s="1"/>
  <c r="O276" i="1"/>
  <c r="O275" i="2" s="1"/>
  <c r="O277" i="1"/>
  <c r="O276" i="2" s="1"/>
  <c r="O278" i="1"/>
  <c r="O277" i="2" s="1"/>
  <c r="O279" i="1"/>
  <c r="O278" i="2" s="1"/>
  <c r="O280" i="1"/>
  <c r="O279" i="2" s="1"/>
  <c r="O281" i="1"/>
  <c r="O280" i="2" s="1"/>
  <c r="O282" i="1"/>
  <c r="O281" i="2" s="1"/>
  <c r="O283" i="1"/>
  <c r="O282" i="2" s="1"/>
  <c r="O284" i="1"/>
  <c r="O283" i="2" s="1"/>
  <c r="O285" i="1"/>
  <c r="O284" i="2" s="1"/>
  <c r="O286" i="1"/>
  <c r="O285" i="2" s="1"/>
  <c r="O287" i="1"/>
  <c r="O286" i="2" s="1"/>
  <c r="O288" i="1"/>
  <c r="O287" i="2" s="1"/>
  <c r="O289" i="1"/>
  <c r="O288" i="2" s="1"/>
  <c r="O290" i="1"/>
  <c r="O289" i="2" s="1"/>
  <c r="O291" i="1"/>
  <c r="O290" i="2" s="1"/>
  <c r="O292" i="1"/>
  <c r="O291" i="2" s="1"/>
  <c r="O293" i="1"/>
  <c r="O292" i="2" s="1"/>
  <c r="O294" i="1"/>
  <c r="O293" i="2" s="1"/>
  <c r="O295" i="1"/>
  <c r="O294" i="2" s="1"/>
  <c r="O296" i="1"/>
  <c r="O295" i="2" s="1"/>
  <c r="O297" i="1"/>
  <c r="O296" i="2" s="1"/>
  <c r="O298" i="1"/>
  <c r="O297" i="2" s="1"/>
  <c r="O299" i="1"/>
  <c r="O298" i="2" s="1"/>
  <c r="O300" i="1"/>
  <c r="O299" i="2" s="1"/>
  <c r="O301" i="1"/>
  <c r="O300" i="2" s="1"/>
  <c r="O302" i="1"/>
  <c r="O301" i="2" s="1"/>
  <c r="O303" i="1"/>
  <c r="O302" i="2" s="1"/>
  <c r="O304" i="1"/>
  <c r="O303" i="2" s="1"/>
  <c r="O305" i="1"/>
  <c r="O304" i="2" s="1"/>
  <c r="O306" i="1"/>
  <c r="O305" i="2" s="1"/>
  <c r="O307" i="1"/>
  <c r="O306" i="2" s="1"/>
  <c r="O308" i="1"/>
  <c r="O307" i="2" s="1"/>
  <c r="O309" i="1"/>
  <c r="O308" i="2" s="1"/>
  <c r="O310" i="1"/>
  <c r="O309" i="2" s="1"/>
  <c r="O311" i="1"/>
  <c r="O310" i="2" s="1"/>
  <c r="O312" i="1"/>
  <c r="O311" i="2" s="1"/>
  <c r="O313" i="1"/>
  <c r="O312" i="2" s="1"/>
  <c r="O314" i="1"/>
  <c r="O313" i="2" s="1"/>
  <c r="O315" i="1"/>
  <c r="O314" i="2" s="1"/>
  <c r="O316" i="1"/>
  <c r="O315" i="2" s="1"/>
  <c r="O317" i="1"/>
  <c r="O316" i="2" s="1"/>
  <c r="O318" i="1"/>
  <c r="O317" i="2" s="1"/>
  <c r="O319" i="1"/>
  <c r="O318" i="2" s="1"/>
  <c r="O320" i="1"/>
  <c r="O319" i="2" s="1"/>
  <c r="O321" i="1"/>
  <c r="O320" i="2" s="1"/>
  <c r="O322" i="1"/>
  <c r="O321" i="2" s="1"/>
  <c r="O323" i="1"/>
  <c r="O322" i="2" s="1"/>
  <c r="O324" i="1"/>
  <c r="O323" i="2" s="1"/>
  <c r="O325" i="1"/>
  <c r="O324" i="2" s="1"/>
  <c r="O326" i="1"/>
  <c r="O325" i="2" s="1"/>
  <c r="O327" i="1"/>
  <c r="O326" i="2" s="1"/>
  <c r="O328" i="1"/>
  <c r="O327" i="2" s="1"/>
  <c r="O329" i="1"/>
  <c r="O328" i="2" s="1"/>
  <c r="O330" i="1"/>
  <c r="O329" i="2" s="1"/>
  <c r="O331" i="1"/>
  <c r="O330" i="2" s="1"/>
  <c r="O332" i="1"/>
  <c r="O331" i="2" s="1"/>
  <c r="O333" i="1"/>
  <c r="O332" i="2" s="1"/>
  <c r="O334" i="1"/>
  <c r="O333" i="2" s="1"/>
  <c r="O335" i="1"/>
  <c r="O334" i="2" s="1"/>
  <c r="O336" i="1"/>
  <c r="O335" i="2" s="1"/>
  <c r="O337" i="1"/>
  <c r="O336" i="2" s="1"/>
  <c r="O338" i="1"/>
  <c r="O337" i="2" s="1"/>
  <c r="O339" i="1"/>
  <c r="O338" i="2" s="1"/>
  <c r="O340" i="1"/>
  <c r="O339" i="2" s="1"/>
  <c r="O341" i="1"/>
  <c r="O340" i="2" s="1"/>
  <c r="O342" i="1"/>
  <c r="O341" i="2" s="1"/>
  <c r="O343" i="1"/>
  <c r="O342" i="2" s="1"/>
  <c r="O344" i="1"/>
  <c r="O343" i="2" s="1"/>
  <c r="O345" i="1"/>
  <c r="O344" i="2" s="1"/>
  <c r="O346" i="1"/>
  <c r="O345" i="2" s="1"/>
  <c r="O347" i="1"/>
  <c r="O346" i="2" s="1"/>
  <c r="O348" i="1"/>
  <c r="O347" i="2" s="1"/>
  <c r="O349" i="1"/>
  <c r="O348" i="2" s="1"/>
  <c r="O350" i="1"/>
  <c r="O349" i="2" s="1"/>
  <c r="O351" i="1"/>
  <c r="O350" i="2" s="1"/>
  <c r="O352" i="1"/>
  <c r="O351" i="2" s="1"/>
  <c r="O353" i="1"/>
  <c r="O352" i="2" s="1"/>
  <c r="O354" i="1"/>
  <c r="O353" i="2" s="1"/>
  <c r="O355" i="1"/>
  <c r="O354" i="2" s="1"/>
  <c r="O356" i="1"/>
  <c r="O355" i="2" s="1"/>
  <c r="O357" i="1"/>
  <c r="O356" i="2" s="1"/>
  <c r="O358" i="1"/>
  <c r="O357" i="2" s="1"/>
  <c r="O359" i="1"/>
  <c r="O358" i="2" s="1"/>
  <c r="O360" i="1"/>
  <c r="O359" i="2" s="1"/>
  <c r="O361" i="1"/>
  <c r="O360" i="2" s="1"/>
  <c r="O362" i="1"/>
  <c r="O361" i="2" s="1"/>
  <c r="O363" i="1"/>
  <c r="O362" i="2" s="1"/>
  <c r="O364" i="1"/>
  <c r="O363" i="2" s="1"/>
  <c r="O365" i="1"/>
  <c r="O364" i="2" s="1"/>
  <c r="O366" i="1"/>
  <c r="O365" i="2" s="1"/>
  <c r="O367" i="1"/>
  <c r="O366" i="2" s="1"/>
  <c r="O368" i="1"/>
  <c r="O367" i="2" s="1"/>
  <c r="O369" i="1"/>
  <c r="O368" i="2" s="1"/>
  <c r="O370" i="1"/>
  <c r="O369" i="2" s="1"/>
  <c r="O371" i="1"/>
  <c r="O370" i="2" s="1"/>
  <c r="O372" i="1"/>
  <c r="O371" i="2" s="1"/>
  <c r="O373" i="1"/>
  <c r="O372" i="2" s="1"/>
  <c r="O374" i="1"/>
  <c r="O373" i="2" s="1"/>
  <c r="O375" i="1"/>
  <c r="O374" i="2" s="1"/>
  <c r="O376" i="1"/>
  <c r="O375" i="2" s="1"/>
  <c r="O377" i="1"/>
  <c r="O376" i="2" s="1"/>
  <c r="O378" i="1"/>
  <c r="O377" i="2" s="1"/>
  <c r="O379" i="1"/>
  <c r="O378" i="2" s="1"/>
  <c r="O380" i="1"/>
  <c r="O379" i="2" s="1"/>
  <c r="O381" i="1"/>
  <c r="O380" i="2" s="1"/>
  <c r="O382" i="1"/>
  <c r="O381" i="2" s="1"/>
  <c r="O383" i="1"/>
  <c r="O382" i="2" s="1"/>
  <c r="O384" i="1"/>
  <c r="O383" i="2" s="1"/>
  <c r="O385" i="1"/>
  <c r="O384" i="2" s="1"/>
  <c r="O386" i="1"/>
  <c r="O385" i="2" s="1"/>
  <c r="O387" i="1"/>
  <c r="O386" i="2" s="1"/>
  <c r="O388" i="1"/>
  <c r="O387" i="2" s="1"/>
  <c r="O389" i="1"/>
  <c r="O388" i="2" s="1"/>
  <c r="O390" i="1"/>
  <c r="O389" i="2" s="1"/>
  <c r="O391" i="1"/>
  <c r="O390" i="2" s="1"/>
  <c r="O392" i="1"/>
  <c r="O391" i="2" s="1"/>
  <c r="O393" i="1"/>
  <c r="O392" i="2" s="1"/>
  <c r="O394" i="1"/>
  <c r="O393" i="2" s="1"/>
  <c r="O395" i="1"/>
  <c r="O394" i="2" s="1"/>
  <c r="O396" i="1"/>
  <c r="O395" i="2" s="1"/>
  <c r="O397" i="1"/>
  <c r="O396" i="2" s="1"/>
  <c r="O398" i="1"/>
  <c r="O397" i="2" s="1"/>
  <c r="O399" i="1"/>
  <c r="O398" i="2" s="1"/>
  <c r="O400" i="1"/>
  <c r="O399" i="2" s="1"/>
  <c r="O401" i="1"/>
  <c r="O400" i="2" s="1"/>
  <c r="O402" i="1"/>
  <c r="O401" i="2" s="1"/>
  <c r="O403" i="1"/>
  <c r="O402" i="2" s="1"/>
  <c r="O404" i="1"/>
  <c r="O403" i="2" s="1"/>
  <c r="O405" i="1"/>
  <c r="O404" i="2" s="1"/>
  <c r="O406" i="1"/>
  <c r="O405" i="2" s="1"/>
  <c r="O407" i="1"/>
  <c r="O406" i="2" s="1"/>
  <c r="O408" i="1"/>
  <c r="O407" i="2" s="1"/>
  <c r="O409" i="1"/>
  <c r="O408" i="2" s="1"/>
  <c r="O410" i="1"/>
  <c r="O409" i="2" s="1"/>
  <c r="O411" i="1"/>
  <c r="O410" i="2" s="1"/>
  <c r="O412" i="1"/>
  <c r="O411" i="2" s="1"/>
  <c r="O413" i="1"/>
  <c r="O412" i="2" s="1"/>
  <c r="O414" i="1"/>
  <c r="O413" i="2" s="1"/>
  <c r="O415" i="1"/>
  <c r="O414" i="2" s="1"/>
  <c r="O416" i="1"/>
  <c r="O415" i="2" s="1"/>
  <c r="O417" i="1"/>
  <c r="O416" i="2" s="1"/>
  <c r="O418" i="1"/>
  <c r="O417" i="2" s="1"/>
  <c r="O419" i="1"/>
  <c r="O418" i="2" s="1"/>
  <c r="O420" i="1"/>
  <c r="O419" i="2" s="1"/>
  <c r="O421" i="1"/>
  <c r="O420" i="2" s="1"/>
  <c r="O422" i="1"/>
  <c r="O421" i="2" s="1"/>
  <c r="O423" i="1"/>
  <c r="O422" i="2" s="1"/>
  <c r="O424" i="1"/>
  <c r="O423" i="2" s="1"/>
  <c r="O425" i="1"/>
  <c r="O424" i="2" s="1"/>
  <c r="O426" i="1"/>
  <c r="O425" i="2" s="1"/>
  <c r="O427" i="1"/>
  <c r="O426" i="2" s="1"/>
  <c r="O428" i="1"/>
  <c r="O427" i="2" s="1"/>
  <c r="O429" i="1"/>
  <c r="O428" i="2" s="1"/>
  <c r="O430" i="1"/>
  <c r="O429" i="2" s="1"/>
  <c r="O431" i="1"/>
  <c r="O430" i="2" s="1"/>
  <c r="O432" i="1"/>
  <c r="O431" i="2" s="1"/>
  <c r="O433" i="1"/>
  <c r="O432" i="2" s="1"/>
  <c r="O434" i="1"/>
  <c r="O433" i="2" s="1"/>
  <c r="O435" i="1"/>
  <c r="O434" i="2" s="1"/>
  <c r="O436" i="1"/>
  <c r="O435" i="2" s="1"/>
  <c r="O437" i="1"/>
  <c r="O436" i="2" s="1"/>
  <c r="O438" i="1"/>
  <c r="O437" i="2" s="1"/>
  <c r="O439" i="1"/>
  <c r="O438" i="2" s="1"/>
  <c r="O440" i="1"/>
  <c r="O439" i="2" s="1"/>
  <c r="O441" i="1"/>
  <c r="O440" i="2" s="1"/>
  <c r="O442" i="1"/>
  <c r="O441" i="2" s="1"/>
  <c r="O443" i="1"/>
  <c r="O442" i="2" s="1"/>
  <c r="O444" i="1"/>
  <c r="O443" i="2" s="1"/>
  <c r="O445" i="1"/>
  <c r="O444" i="2" s="1"/>
  <c r="O446" i="1"/>
  <c r="O445" i="2" s="1"/>
  <c r="O447" i="1"/>
  <c r="O446" i="2" s="1"/>
  <c r="O448" i="1"/>
  <c r="O447" i="2" s="1"/>
  <c r="O449" i="1"/>
  <c r="O448" i="2" s="1"/>
  <c r="O450" i="1"/>
  <c r="O449" i="2" s="1"/>
  <c r="O451" i="1"/>
  <c r="O450" i="2" s="1"/>
  <c r="O452" i="1"/>
  <c r="O451" i="2" s="1"/>
  <c r="O453" i="1"/>
  <c r="O452" i="2" s="1"/>
  <c r="O454" i="1"/>
  <c r="O453" i="2" s="1"/>
  <c r="O455" i="1"/>
  <c r="O454" i="2" s="1"/>
  <c r="O456" i="1"/>
  <c r="O455" i="2" s="1"/>
  <c r="O457" i="1"/>
  <c r="O456" i="2" s="1"/>
  <c r="O458" i="1"/>
  <c r="O457" i="2" s="1"/>
  <c r="O459" i="1"/>
  <c r="O458" i="2" s="1"/>
  <c r="O460" i="1"/>
  <c r="O459" i="2" s="1"/>
  <c r="O461" i="1"/>
  <c r="O460" i="2" s="1"/>
  <c r="O462" i="1"/>
  <c r="O461" i="2" s="1"/>
  <c r="O463" i="1"/>
  <c r="O462" i="2" s="1"/>
  <c r="O464" i="1"/>
  <c r="O463" i="2" s="1"/>
  <c r="O465" i="1"/>
  <c r="O464" i="2" s="1"/>
  <c r="O466" i="1"/>
  <c r="O465" i="2" s="1"/>
  <c r="O467" i="1"/>
  <c r="O466" i="2" s="1"/>
  <c r="O468" i="1"/>
  <c r="O467" i="2" s="1"/>
  <c r="O469" i="1"/>
  <c r="O468" i="2" s="1"/>
  <c r="O470" i="1"/>
  <c r="O469" i="2" s="1"/>
  <c r="O471" i="1"/>
  <c r="O470" i="2" s="1"/>
  <c r="O472" i="1"/>
  <c r="O471" i="2" s="1"/>
  <c r="O473" i="1"/>
  <c r="O472" i="2" s="1"/>
  <c r="O474" i="1"/>
  <c r="O473" i="2" s="1"/>
  <c r="O475" i="1"/>
  <c r="O474" i="2" s="1"/>
  <c r="O476" i="1"/>
  <c r="O475" i="2" s="1"/>
  <c r="O477" i="1"/>
  <c r="O476" i="2" s="1"/>
  <c r="O478" i="1"/>
  <c r="O477" i="2" s="1"/>
  <c r="O479" i="1"/>
  <c r="O478" i="2" s="1"/>
  <c r="O480" i="1"/>
  <c r="O479" i="2" s="1"/>
  <c r="O481" i="1"/>
  <c r="O480" i="2" s="1"/>
  <c r="O482" i="1"/>
  <c r="O481" i="2" s="1"/>
  <c r="O483" i="1"/>
  <c r="O482" i="2" s="1"/>
  <c r="O484" i="1"/>
  <c r="O483" i="2" s="1"/>
  <c r="O485" i="1"/>
  <c r="O484" i="2" s="1"/>
  <c r="O486" i="1"/>
  <c r="O485" i="2" s="1"/>
  <c r="O487" i="1"/>
  <c r="O486" i="2" s="1"/>
  <c r="O488" i="1"/>
  <c r="O487" i="2" s="1"/>
  <c r="O489" i="1"/>
  <c r="O488" i="2" s="1"/>
  <c r="O490" i="1"/>
  <c r="O489" i="2" s="1"/>
  <c r="O491" i="1"/>
  <c r="O490" i="2" s="1"/>
  <c r="O492" i="1"/>
  <c r="O491" i="2" s="1"/>
  <c r="O493" i="1"/>
  <c r="O492" i="2" s="1"/>
  <c r="O494" i="1"/>
  <c r="O493" i="2" s="1"/>
  <c r="O495" i="1"/>
  <c r="O494" i="2" s="1"/>
  <c r="O496" i="1"/>
  <c r="O495" i="2" s="1"/>
  <c r="O497" i="1"/>
  <c r="O496" i="2" s="1"/>
  <c r="O498" i="1"/>
  <c r="O497" i="2" s="1"/>
  <c r="O499" i="1"/>
  <c r="O498" i="2" s="1"/>
  <c r="O500" i="1"/>
  <c r="O499" i="2" s="1"/>
  <c r="O501" i="1"/>
  <c r="O500" i="2" s="1"/>
  <c r="O502" i="1"/>
  <c r="O503" i="1"/>
  <c r="O504" i="1"/>
  <c r="O505" i="1"/>
  <c r="K17" i="1"/>
  <c r="K16" i="2" s="1"/>
  <c r="K122" i="1"/>
  <c r="K121" i="2" s="1"/>
  <c r="K131" i="1"/>
  <c r="K130" i="2" s="1"/>
  <c r="K132" i="1"/>
  <c r="K131" i="2" s="1"/>
  <c r="K133" i="1"/>
  <c r="K132" i="2" s="1"/>
  <c r="K134" i="1"/>
  <c r="K133" i="2" s="1"/>
  <c r="K135" i="1"/>
  <c r="K134" i="2" s="1"/>
  <c r="K136" i="1"/>
  <c r="K135" i="2" s="1"/>
  <c r="K137" i="1"/>
  <c r="K136" i="2" s="1"/>
  <c r="K138" i="1"/>
  <c r="K137" i="2" s="1"/>
  <c r="K139" i="1"/>
  <c r="K138" i="2" s="1"/>
  <c r="K140" i="1"/>
  <c r="K139" i="2" s="1"/>
  <c r="K141" i="1"/>
  <c r="K140" i="2" s="1"/>
  <c r="K142" i="1"/>
  <c r="K141" i="2" s="1"/>
  <c r="K143" i="1"/>
  <c r="K142" i="2" s="1"/>
  <c r="K144" i="1"/>
  <c r="K143" i="2" s="1"/>
  <c r="K145" i="1"/>
  <c r="K144" i="2" s="1"/>
  <c r="K146" i="1"/>
  <c r="K145" i="2" s="1"/>
  <c r="K147" i="1"/>
  <c r="K146" i="2" s="1"/>
  <c r="K148" i="1"/>
  <c r="K147" i="2" s="1"/>
  <c r="K149" i="1"/>
  <c r="K148" i="2" s="1"/>
  <c r="K150" i="1"/>
  <c r="K149" i="2" s="1"/>
  <c r="K151" i="1"/>
  <c r="K150" i="2" s="1"/>
  <c r="K152" i="1"/>
  <c r="K151" i="2" s="1"/>
  <c r="K153" i="1"/>
  <c r="K152" i="2" s="1"/>
  <c r="K154" i="1"/>
  <c r="K153" i="2" s="1"/>
  <c r="K155" i="1"/>
  <c r="K154" i="2" s="1"/>
  <c r="K156" i="1"/>
  <c r="K155" i="2" s="1"/>
  <c r="K157" i="1"/>
  <c r="K156" i="2" s="1"/>
  <c r="K158" i="1"/>
  <c r="K157" i="2" s="1"/>
  <c r="K159" i="1"/>
  <c r="K158" i="2" s="1"/>
  <c r="K160" i="1"/>
  <c r="K159" i="2" s="1"/>
  <c r="K161" i="1"/>
  <c r="K160" i="2" s="1"/>
  <c r="K162" i="1"/>
  <c r="K161" i="2" s="1"/>
  <c r="K163" i="1"/>
  <c r="K162" i="2" s="1"/>
  <c r="K164" i="1"/>
  <c r="K163" i="2" s="1"/>
  <c r="K165" i="1"/>
  <c r="K164" i="2" s="1"/>
  <c r="K166" i="1"/>
  <c r="K165" i="2" s="1"/>
  <c r="K167" i="1"/>
  <c r="K166" i="2" s="1"/>
  <c r="K168" i="1"/>
  <c r="K167" i="2" s="1"/>
  <c r="K169" i="1"/>
  <c r="K168" i="2" s="1"/>
  <c r="K170" i="1"/>
  <c r="K169" i="2" s="1"/>
  <c r="K171" i="1"/>
  <c r="K170" i="2" s="1"/>
  <c r="K172" i="1"/>
  <c r="K171" i="2" s="1"/>
  <c r="K173" i="1"/>
  <c r="K172" i="2" s="1"/>
  <c r="K174" i="1"/>
  <c r="K173" i="2" s="1"/>
  <c r="K175" i="1"/>
  <c r="K174" i="2" s="1"/>
  <c r="K176" i="1"/>
  <c r="K175" i="2" s="1"/>
  <c r="K177" i="1"/>
  <c r="K176" i="2" s="1"/>
  <c r="K178" i="1"/>
  <c r="K177" i="2" s="1"/>
  <c r="K179" i="1"/>
  <c r="K178" i="2" s="1"/>
  <c r="K180" i="1"/>
  <c r="K179" i="2" s="1"/>
  <c r="K181" i="1"/>
  <c r="K180" i="2" s="1"/>
  <c r="K182" i="1"/>
  <c r="K181" i="2" s="1"/>
  <c r="K183" i="1"/>
  <c r="K182" i="2" s="1"/>
  <c r="K184" i="1"/>
  <c r="K183" i="2" s="1"/>
  <c r="K185" i="1"/>
  <c r="K184" i="2" s="1"/>
  <c r="K186" i="1"/>
  <c r="K185" i="2" s="1"/>
  <c r="K187" i="1"/>
  <c r="K186" i="2" s="1"/>
  <c r="K188" i="1"/>
  <c r="K187" i="2" s="1"/>
  <c r="K189" i="1"/>
  <c r="K188" i="2" s="1"/>
  <c r="K190" i="1"/>
  <c r="K189" i="2" s="1"/>
  <c r="K191" i="1"/>
  <c r="K190" i="2" s="1"/>
  <c r="K192" i="1"/>
  <c r="K191" i="2" s="1"/>
  <c r="K193" i="1"/>
  <c r="K192" i="2" s="1"/>
  <c r="K194" i="1"/>
  <c r="K193" i="2" s="1"/>
  <c r="K195" i="1"/>
  <c r="K194" i="2" s="1"/>
  <c r="K196" i="1"/>
  <c r="K195" i="2" s="1"/>
  <c r="K197" i="1"/>
  <c r="K196" i="2" s="1"/>
  <c r="K198" i="1"/>
  <c r="K197" i="2" s="1"/>
  <c r="K199" i="1"/>
  <c r="K198" i="2" s="1"/>
  <c r="K200" i="1"/>
  <c r="K199" i="2" s="1"/>
  <c r="K201" i="1"/>
  <c r="K200" i="2" s="1"/>
  <c r="K202" i="1"/>
  <c r="K201" i="2" s="1"/>
  <c r="K203" i="1"/>
  <c r="K202" i="2" s="1"/>
  <c r="K204" i="1"/>
  <c r="K203" i="2" s="1"/>
  <c r="K205" i="1"/>
  <c r="K204" i="2" s="1"/>
  <c r="K206" i="1"/>
  <c r="K205" i="2" s="1"/>
  <c r="K207" i="1"/>
  <c r="K206" i="2" s="1"/>
  <c r="K208" i="1"/>
  <c r="K207" i="2" s="1"/>
  <c r="K209" i="1"/>
  <c r="K208" i="2" s="1"/>
  <c r="K210" i="1"/>
  <c r="K209" i="2" s="1"/>
  <c r="K211" i="1"/>
  <c r="K210" i="2" s="1"/>
  <c r="K212" i="1"/>
  <c r="K211" i="2" s="1"/>
  <c r="K213" i="1"/>
  <c r="K212" i="2" s="1"/>
  <c r="K214" i="1"/>
  <c r="K213" i="2" s="1"/>
  <c r="K215" i="1"/>
  <c r="K214" i="2" s="1"/>
  <c r="K216" i="1"/>
  <c r="K215" i="2" s="1"/>
  <c r="K217" i="1"/>
  <c r="K216" i="2" s="1"/>
  <c r="K218" i="1"/>
  <c r="K217" i="2" s="1"/>
  <c r="K219" i="1"/>
  <c r="K218" i="2" s="1"/>
  <c r="K220" i="1"/>
  <c r="K219" i="2" s="1"/>
  <c r="K221" i="1"/>
  <c r="K220" i="2" s="1"/>
  <c r="K222" i="1"/>
  <c r="K221" i="2" s="1"/>
  <c r="K223" i="1"/>
  <c r="K222" i="2" s="1"/>
  <c r="K224" i="1"/>
  <c r="K223" i="2" s="1"/>
  <c r="K225" i="1"/>
  <c r="K224" i="2" s="1"/>
  <c r="K226" i="1"/>
  <c r="K225" i="2" s="1"/>
  <c r="K227" i="1"/>
  <c r="K226" i="2" s="1"/>
  <c r="K228" i="1"/>
  <c r="K227" i="2" s="1"/>
  <c r="K229" i="1"/>
  <c r="K228" i="2" s="1"/>
  <c r="K230" i="1"/>
  <c r="K229" i="2" s="1"/>
  <c r="K231" i="1"/>
  <c r="K230" i="2" s="1"/>
  <c r="K232" i="1"/>
  <c r="K231" i="2" s="1"/>
  <c r="K233" i="1"/>
  <c r="K232" i="2" s="1"/>
  <c r="K234" i="1"/>
  <c r="K233" i="2" s="1"/>
  <c r="K235" i="1"/>
  <c r="K234" i="2" s="1"/>
  <c r="K236" i="1"/>
  <c r="K235" i="2" s="1"/>
  <c r="K237" i="1"/>
  <c r="K236" i="2" s="1"/>
  <c r="K238" i="1"/>
  <c r="K237" i="2" s="1"/>
  <c r="K239" i="1"/>
  <c r="K238" i="2" s="1"/>
  <c r="K240" i="1"/>
  <c r="K239" i="2" s="1"/>
  <c r="K241" i="1"/>
  <c r="K240" i="2" s="1"/>
  <c r="K242" i="1"/>
  <c r="K241" i="2" s="1"/>
  <c r="K243" i="1"/>
  <c r="K242" i="2" s="1"/>
  <c r="K244" i="1"/>
  <c r="K243" i="2" s="1"/>
  <c r="K245" i="1"/>
  <c r="K244" i="2" s="1"/>
  <c r="K246" i="1"/>
  <c r="K245" i="2" s="1"/>
  <c r="K247" i="1"/>
  <c r="K246" i="2" s="1"/>
  <c r="K248" i="1"/>
  <c r="K247" i="2" s="1"/>
  <c r="K249" i="1"/>
  <c r="K248" i="2" s="1"/>
  <c r="K250" i="1"/>
  <c r="K249" i="2" s="1"/>
  <c r="K251" i="1"/>
  <c r="K250" i="2" s="1"/>
  <c r="K252" i="1"/>
  <c r="K251" i="2" s="1"/>
  <c r="K253" i="1"/>
  <c r="K252" i="2" s="1"/>
  <c r="K254" i="1"/>
  <c r="K253" i="2" s="1"/>
  <c r="K255" i="1"/>
  <c r="K254" i="2" s="1"/>
  <c r="K256" i="1"/>
  <c r="K255" i="2" s="1"/>
  <c r="K257" i="1"/>
  <c r="K256" i="2" s="1"/>
  <c r="K258" i="1"/>
  <c r="K257" i="2" s="1"/>
  <c r="K259" i="1"/>
  <c r="K258" i="2" s="1"/>
  <c r="K260" i="1"/>
  <c r="K259" i="2" s="1"/>
  <c r="K261" i="1"/>
  <c r="K260" i="2" s="1"/>
  <c r="K262" i="1"/>
  <c r="K261" i="2" s="1"/>
  <c r="K263" i="1"/>
  <c r="K262" i="2" s="1"/>
  <c r="K264" i="1"/>
  <c r="K263" i="2" s="1"/>
  <c r="K265" i="1"/>
  <c r="K264" i="2" s="1"/>
  <c r="K266" i="1"/>
  <c r="K265" i="2" s="1"/>
  <c r="K267" i="1"/>
  <c r="K266" i="2" s="1"/>
  <c r="K268" i="1"/>
  <c r="K267" i="2" s="1"/>
  <c r="K269" i="1"/>
  <c r="K268" i="2" s="1"/>
  <c r="K270" i="1"/>
  <c r="K269" i="2" s="1"/>
  <c r="K271" i="1"/>
  <c r="K270" i="2" s="1"/>
  <c r="K272" i="1"/>
  <c r="K271" i="2" s="1"/>
  <c r="K273" i="1"/>
  <c r="K272" i="2" s="1"/>
  <c r="K274" i="1"/>
  <c r="K273" i="2" s="1"/>
  <c r="K275" i="1"/>
  <c r="K274" i="2" s="1"/>
  <c r="K276" i="1"/>
  <c r="K275" i="2" s="1"/>
  <c r="K277" i="1"/>
  <c r="K276" i="2" s="1"/>
  <c r="K278" i="1"/>
  <c r="K277" i="2" s="1"/>
  <c r="K279" i="1"/>
  <c r="K278" i="2" s="1"/>
  <c r="K280" i="1"/>
  <c r="K279" i="2" s="1"/>
  <c r="K281" i="1"/>
  <c r="K280" i="2" s="1"/>
  <c r="K282" i="1"/>
  <c r="K281" i="2" s="1"/>
  <c r="K283" i="1"/>
  <c r="K282" i="2" s="1"/>
  <c r="K284" i="1"/>
  <c r="K283" i="2" s="1"/>
  <c r="K285" i="1"/>
  <c r="K284" i="2" s="1"/>
  <c r="K286" i="1"/>
  <c r="K285" i="2" s="1"/>
  <c r="K287" i="1"/>
  <c r="K286" i="2" s="1"/>
  <c r="K288" i="1"/>
  <c r="K287" i="2" s="1"/>
  <c r="K289" i="1"/>
  <c r="K288" i="2" s="1"/>
  <c r="K290" i="1"/>
  <c r="K289" i="2" s="1"/>
  <c r="K291" i="1"/>
  <c r="K290" i="2" s="1"/>
  <c r="K292" i="1"/>
  <c r="K291" i="2" s="1"/>
  <c r="K293" i="1"/>
  <c r="K292" i="2" s="1"/>
  <c r="K294" i="1"/>
  <c r="K293" i="2" s="1"/>
  <c r="K295" i="1"/>
  <c r="K294" i="2" s="1"/>
  <c r="K296" i="1"/>
  <c r="K295" i="2" s="1"/>
  <c r="K297" i="1"/>
  <c r="K296" i="2" s="1"/>
  <c r="K298" i="1"/>
  <c r="K297" i="2" s="1"/>
  <c r="K299" i="1"/>
  <c r="K298" i="2" s="1"/>
  <c r="K300" i="1"/>
  <c r="K299" i="2" s="1"/>
  <c r="K301" i="1"/>
  <c r="K300" i="2" s="1"/>
  <c r="K302" i="1"/>
  <c r="K301" i="2" s="1"/>
  <c r="K303" i="1"/>
  <c r="K302" i="2" s="1"/>
  <c r="K304" i="1"/>
  <c r="K303" i="2" s="1"/>
  <c r="K305" i="1"/>
  <c r="K304" i="2" s="1"/>
  <c r="K306" i="1"/>
  <c r="K305" i="2" s="1"/>
  <c r="K307" i="1"/>
  <c r="K306" i="2" s="1"/>
  <c r="K308" i="1"/>
  <c r="K307" i="2" s="1"/>
  <c r="K309" i="1"/>
  <c r="K308" i="2" s="1"/>
  <c r="K310" i="1"/>
  <c r="K309" i="2" s="1"/>
  <c r="K311" i="1"/>
  <c r="K310" i="2" s="1"/>
  <c r="K312" i="1"/>
  <c r="K311" i="2" s="1"/>
  <c r="K313" i="1"/>
  <c r="K312" i="2" s="1"/>
  <c r="K314" i="1"/>
  <c r="K313" i="2" s="1"/>
  <c r="K315" i="1"/>
  <c r="K314" i="2" s="1"/>
  <c r="K316" i="1"/>
  <c r="K315" i="2" s="1"/>
  <c r="K317" i="1"/>
  <c r="K316" i="2" s="1"/>
  <c r="K318" i="1"/>
  <c r="K317" i="2" s="1"/>
  <c r="K319" i="1"/>
  <c r="K318" i="2" s="1"/>
  <c r="K320" i="1"/>
  <c r="K319" i="2" s="1"/>
  <c r="K321" i="1"/>
  <c r="K320" i="2" s="1"/>
  <c r="K322" i="1"/>
  <c r="K321" i="2" s="1"/>
  <c r="K323" i="1"/>
  <c r="K322" i="2" s="1"/>
  <c r="K324" i="1"/>
  <c r="K323" i="2" s="1"/>
  <c r="K325" i="1"/>
  <c r="K324" i="2" s="1"/>
  <c r="K326" i="1"/>
  <c r="K325" i="2" s="1"/>
  <c r="K327" i="1"/>
  <c r="K326" i="2" s="1"/>
  <c r="K328" i="1"/>
  <c r="K327" i="2" s="1"/>
  <c r="K329" i="1"/>
  <c r="K328" i="2" s="1"/>
  <c r="K330" i="1"/>
  <c r="K329" i="2" s="1"/>
  <c r="K331" i="1"/>
  <c r="K330" i="2" s="1"/>
  <c r="K332" i="1"/>
  <c r="K331" i="2" s="1"/>
  <c r="K333" i="1"/>
  <c r="K332" i="2" s="1"/>
  <c r="K334" i="1"/>
  <c r="K333" i="2" s="1"/>
  <c r="K335" i="1"/>
  <c r="K334" i="2" s="1"/>
  <c r="K336" i="1"/>
  <c r="K335" i="2" s="1"/>
  <c r="K337" i="1"/>
  <c r="K336" i="2" s="1"/>
  <c r="K338" i="1"/>
  <c r="K337" i="2" s="1"/>
  <c r="K339" i="1"/>
  <c r="K338" i="2" s="1"/>
  <c r="K340" i="1"/>
  <c r="K339" i="2" s="1"/>
  <c r="K341" i="1"/>
  <c r="K340" i="2" s="1"/>
  <c r="K342" i="1"/>
  <c r="K341" i="2" s="1"/>
  <c r="K343" i="1"/>
  <c r="K342" i="2" s="1"/>
  <c r="K344" i="1"/>
  <c r="K343" i="2" s="1"/>
  <c r="K345" i="1"/>
  <c r="K344" i="2" s="1"/>
  <c r="K346" i="1"/>
  <c r="K345" i="2" s="1"/>
  <c r="K347" i="1"/>
  <c r="K346" i="2" s="1"/>
  <c r="K348" i="1"/>
  <c r="K347" i="2" s="1"/>
  <c r="K349" i="1"/>
  <c r="K348" i="2" s="1"/>
  <c r="K350" i="1"/>
  <c r="K349" i="2" s="1"/>
  <c r="K351" i="1"/>
  <c r="K350" i="2" s="1"/>
  <c r="K352" i="1"/>
  <c r="K351" i="2" s="1"/>
  <c r="K353" i="1"/>
  <c r="K352" i="2" s="1"/>
  <c r="K354" i="1"/>
  <c r="K353" i="2" s="1"/>
  <c r="K355" i="1"/>
  <c r="K354" i="2" s="1"/>
  <c r="K356" i="1"/>
  <c r="K355" i="2" s="1"/>
  <c r="K357" i="1"/>
  <c r="K356" i="2" s="1"/>
  <c r="K358" i="1"/>
  <c r="K357" i="2" s="1"/>
  <c r="K359" i="1"/>
  <c r="K358" i="2" s="1"/>
  <c r="K360" i="1"/>
  <c r="K359" i="2" s="1"/>
  <c r="K361" i="1"/>
  <c r="K360" i="2" s="1"/>
  <c r="K362" i="1"/>
  <c r="K361" i="2" s="1"/>
  <c r="K363" i="1"/>
  <c r="K362" i="2" s="1"/>
  <c r="K364" i="1"/>
  <c r="K363" i="2" s="1"/>
  <c r="K365" i="1"/>
  <c r="K364" i="2" s="1"/>
  <c r="K366" i="1"/>
  <c r="K365" i="2" s="1"/>
  <c r="K367" i="1"/>
  <c r="K366" i="2" s="1"/>
  <c r="K368" i="1"/>
  <c r="K367" i="2" s="1"/>
  <c r="K369" i="1"/>
  <c r="K368" i="2" s="1"/>
  <c r="K370" i="1"/>
  <c r="K369" i="2" s="1"/>
  <c r="K371" i="1"/>
  <c r="K370" i="2" s="1"/>
  <c r="K372" i="1"/>
  <c r="K371" i="2" s="1"/>
  <c r="K373" i="1"/>
  <c r="K372" i="2" s="1"/>
  <c r="K374" i="1"/>
  <c r="K373" i="2" s="1"/>
  <c r="K375" i="1"/>
  <c r="K374" i="2" s="1"/>
  <c r="K376" i="1"/>
  <c r="K375" i="2" s="1"/>
  <c r="K377" i="1"/>
  <c r="K376" i="2" s="1"/>
  <c r="K378" i="1"/>
  <c r="K377" i="2" s="1"/>
  <c r="K379" i="1"/>
  <c r="K378" i="2" s="1"/>
  <c r="K380" i="1"/>
  <c r="K379" i="2" s="1"/>
  <c r="K381" i="1"/>
  <c r="K380" i="2" s="1"/>
  <c r="K382" i="1"/>
  <c r="K381" i="2" s="1"/>
  <c r="K383" i="1"/>
  <c r="K382" i="2" s="1"/>
  <c r="K384" i="1"/>
  <c r="K383" i="2" s="1"/>
  <c r="K385" i="1"/>
  <c r="K384" i="2" s="1"/>
  <c r="K386" i="1"/>
  <c r="K385" i="2" s="1"/>
  <c r="K387" i="1"/>
  <c r="K386" i="2" s="1"/>
  <c r="K388" i="1"/>
  <c r="K387" i="2" s="1"/>
  <c r="K389" i="1"/>
  <c r="K388" i="2" s="1"/>
  <c r="K390" i="1"/>
  <c r="K389" i="2" s="1"/>
  <c r="K391" i="1"/>
  <c r="K390" i="2" s="1"/>
  <c r="K392" i="1"/>
  <c r="K391" i="2" s="1"/>
  <c r="K393" i="1"/>
  <c r="K392" i="2" s="1"/>
  <c r="K394" i="1"/>
  <c r="K393" i="2" s="1"/>
  <c r="K395" i="1"/>
  <c r="K394" i="2" s="1"/>
  <c r="K396" i="1"/>
  <c r="K395" i="2" s="1"/>
  <c r="K397" i="1"/>
  <c r="K396" i="2" s="1"/>
  <c r="K398" i="1"/>
  <c r="K397" i="2" s="1"/>
  <c r="K399" i="1"/>
  <c r="K398" i="2" s="1"/>
  <c r="K400" i="1"/>
  <c r="K399" i="2" s="1"/>
  <c r="K401" i="1"/>
  <c r="K400" i="2" s="1"/>
  <c r="K402" i="1"/>
  <c r="K401" i="2" s="1"/>
  <c r="K403" i="1"/>
  <c r="K402" i="2" s="1"/>
  <c r="K404" i="1"/>
  <c r="K403" i="2" s="1"/>
  <c r="K405" i="1"/>
  <c r="K404" i="2" s="1"/>
  <c r="K406" i="1"/>
  <c r="K405" i="2" s="1"/>
  <c r="K407" i="1"/>
  <c r="K406" i="2" s="1"/>
  <c r="K408" i="1"/>
  <c r="K407" i="2" s="1"/>
  <c r="K409" i="1"/>
  <c r="K408" i="2" s="1"/>
  <c r="K410" i="1"/>
  <c r="K409" i="2" s="1"/>
  <c r="K411" i="1"/>
  <c r="K410" i="2" s="1"/>
  <c r="K412" i="1"/>
  <c r="K411" i="2" s="1"/>
  <c r="K413" i="1"/>
  <c r="K412" i="2" s="1"/>
  <c r="K414" i="1"/>
  <c r="K413" i="2" s="1"/>
  <c r="K415" i="1"/>
  <c r="K414" i="2" s="1"/>
  <c r="K416" i="1"/>
  <c r="K415" i="2" s="1"/>
  <c r="K417" i="1"/>
  <c r="K416" i="2" s="1"/>
  <c r="K418" i="1"/>
  <c r="K417" i="2" s="1"/>
  <c r="K419" i="1"/>
  <c r="K418" i="2" s="1"/>
  <c r="K420" i="1"/>
  <c r="K419" i="2" s="1"/>
  <c r="K421" i="1"/>
  <c r="K420" i="2" s="1"/>
  <c r="K422" i="1"/>
  <c r="K421" i="2" s="1"/>
  <c r="K423" i="1"/>
  <c r="K422" i="2" s="1"/>
  <c r="K424" i="1"/>
  <c r="K423" i="2" s="1"/>
  <c r="K425" i="1"/>
  <c r="K424" i="2" s="1"/>
  <c r="K426" i="1"/>
  <c r="K425" i="2" s="1"/>
  <c r="K427" i="1"/>
  <c r="K426" i="2" s="1"/>
  <c r="K428" i="1"/>
  <c r="K427" i="2" s="1"/>
  <c r="K429" i="1"/>
  <c r="K428" i="2" s="1"/>
  <c r="K430" i="1"/>
  <c r="K429" i="2" s="1"/>
  <c r="K431" i="1"/>
  <c r="K430" i="2" s="1"/>
  <c r="K432" i="1"/>
  <c r="K431" i="2" s="1"/>
  <c r="K433" i="1"/>
  <c r="K432" i="2" s="1"/>
  <c r="K434" i="1"/>
  <c r="K433" i="2" s="1"/>
  <c r="K435" i="1"/>
  <c r="K434" i="2" s="1"/>
  <c r="K436" i="1"/>
  <c r="K435" i="2" s="1"/>
  <c r="K437" i="1"/>
  <c r="K436" i="2" s="1"/>
  <c r="K438" i="1"/>
  <c r="K437" i="2" s="1"/>
  <c r="K439" i="1"/>
  <c r="K438" i="2" s="1"/>
  <c r="K440" i="1"/>
  <c r="K439" i="2" s="1"/>
  <c r="K441" i="1"/>
  <c r="K440" i="2" s="1"/>
  <c r="K442" i="1"/>
  <c r="K441" i="2" s="1"/>
  <c r="K443" i="1"/>
  <c r="K442" i="2" s="1"/>
  <c r="K444" i="1"/>
  <c r="K443" i="2" s="1"/>
  <c r="K445" i="1"/>
  <c r="K444" i="2" s="1"/>
  <c r="K446" i="1"/>
  <c r="K445" i="2" s="1"/>
  <c r="K447" i="1"/>
  <c r="K446" i="2" s="1"/>
  <c r="K448" i="1"/>
  <c r="K447" i="2" s="1"/>
  <c r="K449" i="1"/>
  <c r="K448" i="2" s="1"/>
  <c r="K450" i="1"/>
  <c r="K449" i="2" s="1"/>
  <c r="K451" i="1"/>
  <c r="K450" i="2" s="1"/>
  <c r="K452" i="1"/>
  <c r="K451" i="2" s="1"/>
  <c r="K453" i="1"/>
  <c r="K452" i="2" s="1"/>
  <c r="K454" i="1"/>
  <c r="K453" i="2" s="1"/>
  <c r="K455" i="1"/>
  <c r="K454" i="2" s="1"/>
  <c r="K456" i="1"/>
  <c r="K455" i="2" s="1"/>
  <c r="K457" i="1"/>
  <c r="K456" i="2" s="1"/>
  <c r="K458" i="1"/>
  <c r="K457" i="2" s="1"/>
  <c r="K459" i="1"/>
  <c r="K458" i="2" s="1"/>
  <c r="K460" i="1"/>
  <c r="K459" i="2" s="1"/>
  <c r="K461" i="1"/>
  <c r="K460" i="2" s="1"/>
  <c r="K462" i="1"/>
  <c r="K461" i="2" s="1"/>
  <c r="K463" i="1"/>
  <c r="K462" i="2" s="1"/>
  <c r="K464" i="1"/>
  <c r="K463" i="2" s="1"/>
  <c r="K465" i="1"/>
  <c r="K464" i="2" s="1"/>
  <c r="K466" i="1"/>
  <c r="K465" i="2" s="1"/>
  <c r="K467" i="1"/>
  <c r="K466" i="2" s="1"/>
  <c r="K468" i="1"/>
  <c r="K467" i="2" s="1"/>
  <c r="K469" i="1"/>
  <c r="K468" i="2" s="1"/>
  <c r="K470" i="1"/>
  <c r="K469" i="2" s="1"/>
  <c r="K471" i="1"/>
  <c r="K470" i="2" s="1"/>
  <c r="K472" i="1"/>
  <c r="K471" i="2" s="1"/>
  <c r="K473" i="1"/>
  <c r="K472" i="2" s="1"/>
  <c r="K474" i="1"/>
  <c r="K473" i="2" s="1"/>
  <c r="K475" i="1"/>
  <c r="K474" i="2" s="1"/>
  <c r="K476" i="1"/>
  <c r="K475" i="2" s="1"/>
  <c r="K477" i="1"/>
  <c r="K476" i="2" s="1"/>
  <c r="K478" i="1"/>
  <c r="K477" i="2" s="1"/>
  <c r="K479" i="1"/>
  <c r="K478" i="2" s="1"/>
  <c r="K480" i="1"/>
  <c r="K479" i="2" s="1"/>
  <c r="K481" i="1"/>
  <c r="K480" i="2" s="1"/>
  <c r="K482" i="1"/>
  <c r="K481" i="2" s="1"/>
  <c r="K483" i="1"/>
  <c r="K482" i="2" s="1"/>
  <c r="K484" i="1"/>
  <c r="K483" i="2" s="1"/>
  <c r="K485" i="1"/>
  <c r="K484" i="2" s="1"/>
  <c r="K486" i="1"/>
  <c r="K485" i="2" s="1"/>
  <c r="K487" i="1"/>
  <c r="K486" i="2" s="1"/>
  <c r="K488" i="1"/>
  <c r="K487" i="2" s="1"/>
  <c r="K489" i="1"/>
  <c r="K488" i="2" s="1"/>
  <c r="K490" i="1"/>
  <c r="K489" i="2" s="1"/>
  <c r="K491" i="1"/>
  <c r="K490" i="2" s="1"/>
  <c r="K492" i="1"/>
  <c r="K491" i="2" s="1"/>
  <c r="K493" i="1"/>
  <c r="K492" i="2" s="1"/>
  <c r="K494" i="1"/>
  <c r="K493" i="2" s="1"/>
  <c r="K495" i="1"/>
  <c r="K494" i="2" s="1"/>
  <c r="K496" i="1"/>
  <c r="K495" i="2" s="1"/>
  <c r="K497" i="1"/>
  <c r="K496" i="2" s="1"/>
  <c r="K498" i="1"/>
  <c r="K497" i="2" s="1"/>
  <c r="K499" i="1"/>
  <c r="K498" i="2" s="1"/>
  <c r="K500" i="1"/>
  <c r="K499" i="2" s="1"/>
  <c r="K501" i="1"/>
  <c r="K500" i="2" s="1"/>
  <c r="K502" i="1"/>
  <c r="K503" i="1"/>
  <c r="K504" i="1"/>
  <c r="K505" i="1"/>
  <c r="J6" i="1"/>
  <c r="K6" i="1" s="1"/>
  <c r="K5" i="2" s="1"/>
  <c r="H17" i="3"/>
  <c r="H18" i="3"/>
  <c r="H19" i="3"/>
  <c r="H20" i="3"/>
  <c r="P7" i="1"/>
  <c r="P6" i="2" s="1"/>
  <c r="P8" i="1"/>
  <c r="P7" i="2" s="1"/>
  <c r="P9" i="1"/>
  <c r="P8" i="2" s="1"/>
  <c r="P10" i="1"/>
  <c r="P9" i="2" s="1"/>
  <c r="P11" i="1"/>
  <c r="P10" i="2" s="1"/>
  <c r="P12" i="1"/>
  <c r="P11" i="2" s="1"/>
  <c r="P13" i="1"/>
  <c r="P12" i="2" s="1"/>
  <c r="P14" i="1"/>
  <c r="P13" i="2" s="1"/>
  <c r="P15" i="1"/>
  <c r="P14" i="2" s="1"/>
  <c r="P16" i="1"/>
  <c r="P15" i="2" s="1"/>
  <c r="P17" i="1"/>
  <c r="P16" i="2" s="1"/>
  <c r="P18" i="1"/>
  <c r="P17" i="2" s="1"/>
  <c r="P19" i="1"/>
  <c r="P18" i="2" s="1"/>
  <c r="P20" i="1"/>
  <c r="P19" i="2" s="1"/>
  <c r="P21" i="1"/>
  <c r="P20" i="2" s="1"/>
  <c r="P22" i="1"/>
  <c r="P21" i="2" s="1"/>
  <c r="P23" i="1"/>
  <c r="P22" i="2" s="1"/>
  <c r="P24" i="1"/>
  <c r="P23" i="2" s="1"/>
  <c r="P25" i="1"/>
  <c r="P24" i="2" s="1"/>
  <c r="P26" i="1"/>
  <c r="P25" i="2" s="1"/>
  <c r="P27" i="1"/>
  <c r="P26" i="2" s="1"/>
  <c r="P28" i="1"/>
  <c r="P27" i="2" s="1"/>
  <c r="P29" i="1"/>
  <c r="P28" i="2" s="1"/>
  <c r="P30" i="1"/>
  <c r="P29" i="2" s="1"/>
  <c r="P31" i="1"/>
  <c r="P30" i="2" s="1"/>
  <c r="P32" i="1"/>
  <c r="P31" i="2" s="1"/>
  <c r="P33" i="1"/>
  <c r="P32" i="2" s="1"/>
  <c r="P34" i="1"/>
  <c r="P33" i="2" s="1"/>
  <c r="P35" i="1"/>
  <c r="P34" i="2" s="1"/>
  <c r="P36" i="1"/>
  <c r="P35" i="2" s="1"/>
  <c r="P37" i="1"/>
  <c r="P36" i="2" s="1"/>
  <c r="P38" i="1"/>
  <c r="P37" i="2" s="1"/>
  <c r="P39" i="1"/>
  <c r="P38" i="2" s="1"/>
  <c r="P40" i="1"/>
  <c r="P39" i="2" s="1"/>
  <c r="P41" i="1"/>
  <c r="P40" i="2" s="1"/>
  <c r="P42" i="1"/>
  <c r="P41" i="2" s="1"/>
  <c r="P43" i="1"/>
  <c r="P42" i="2" s="1"/>
  <c r="P44" i="1"/>
  <c r="P43" i="2" s="1"/>
  <c r="P45" i="1"/>
  <c r="P44" i="2" s="1"/>
  <c r="P46" i="1"/>
  <c r="P45" i="2" s="1"/>
  <c r="P47" i="1"/>
  <c r="P46" i="2" s="1"/>
  <c r="P48" i="1"/>
  <c r="P47" i="2" s="1"/>
  <c r="P49" i="1"/>
  <c r="P48" i="2" s="1"/>
  <c r="P50" i="1"/>
  <c r="P49" i="2" s="1"/>
  <c r="P51" i="1"/>
  <c r="P50" i="2" s="1"/>
  <c r="P52" i="1"/>
  <c r="P51" i="2" s="1"/>
  <c r="P53" i="1"/>
  <c r="P52" i="2" s="1"/>
  <c r="P54" i="1"/>
  <c r="P53" i="2" s="1"/>
  <c r="P55" i="1"/>
  <c r="P54" i="2" s="1"/>
  <c r="P56" i="1"/>
  <c r="P55" i="2" s="1"/>
  <c r="P57" i="1"/>
  <c r="P56" i="2" s="1"/>
  <c r="P58" i="1"/>
  <c r="P57" i="2" s="1"/>
  <c r="P59" i="1"/>
  <c r="P58" i="2" s="1"/>
  <c r="P60" i="1"/>
  <c r="P59" i="2" s="1"/>
  <c r="P61" i="1"/>
  <c r="P60" i="2" s="1"/>
  <c r="P62" i="1"/>
  <c r="P61" i="2" s="1"/>
  <c r="P63" i="1"/>
  <c r="P62" i="2" s="1"/>
  <c r="P64" i="1"/>
  <c r="P63" i="2" s="1"/>
  <c r="P65" i="1"/>
  <c r="P64" i="2" s="1"/>
  <c r="P66" i="1"/>
  <c r="P65" i="2" s="1"/>
  <c r="P67" i="1"/>
  <c r="P66" i="2" s="1"/>
  <c r="P68" i="1"/>
  <c r="P67" i="2" s="1"/>
  <c r="P69" i="1"/>
  <c r="P68" i="2" s="1"/>
  <c r="P70" i="1"/>
  <c r="P69" i="2" s="1"/>
  <c r="P71" i="1"/>
  <c r="P70" i="2" s="1"/>
  <c r="P72" i="1"/>
  <c r="P71" i="2" s="1"/>
  <c r="P73" i="1"/>
  <c r="P72" i="2" s="1"/>
  <c r="P74" i="1"/>
  <c r="P73" i="2" s="1"/>
  <c r="P75" i="1"/>
  <c r="P74" i="2" s="1"/>
  <c r="P76" i="1"/>
  <c r="P75" i="2" s="1"/>
  <c r="P77" i="1"/>
  <c r="P76" i="2" s="1"/>
  <c r="P78" i="1"/>
  <c r="P77" i="2" s="1"/>
  <c r="P79" i="1"/>
  <c r="P78" i="2" s="1"/>
  <c r="P80" i="1"/>
  <c r="P79" i="2" s="1"/>
  <c r="P81" i="1"/>
  <c r="P80" i="2" s="1"/>
  <c r="P82" i="1"/>
  <c r="P81" i="2" s="1"/>
  <c r="P83" i="1"/>
  <c r="P82" i="2" s="1"/>
  <c r="P84" i="1"/>
  <c r="P83" i="2" s="1"/>
  <c r="P85" i="1"/>
  <c r="P84" i="2" s="1"/>
  <c r="P86" i="1"/>
  <c r="P85" i="2" s="1"/>
  <c r="P87" i="1"/>
  <c r="P86" i="2" s="1"/>
  <c r="P88" i="1"/>
  <c r="P87" i="2" s="1"/>
  <c r="P89" i="1"/>
  <c r="P88" i="2" s="1"/>
  <c r="P90" i="1"/>
  <c r="P89" i="2" s="1"/>
  <c r="P91" i="1"/>
  <c r="P90" i="2" s="1"/>
  <c r="P92" i="1"/>
  <c r="P91" i="2" s="1"/>
  <c r="P93" i="1"/>
  <c r="P92" i="2" s="1"/>
  <c r="P94" i="1"/>
  <c r="P93" i="2" s="1"/>
  <c r="P95" i="1"/>
  <c r="P94" i="2" s="1"/>
  <c r="P96" i="1"/>
  <c r="P95" i="2" s="1"/>
  <c r="P97" i="1"/>
  <c r="P96" i="2" s="1"/>
  <c r="P98" i="1"/>
  <c r="P97" i="2" s="1"/>
  <c r="P99" i="1"/>
  <c r="P98" i="2" s="1"/>
  <c r="P100" i="1"/>
  <c r="P99" i="2" s="1"/>
  <c r="P101" i="1"/>
  <c r="P100" i="2" s="1"/>
  <c r="P102" i="1"/>
  <c r="P101" i="2" s="1"/>
  <c r="P103" i="1"/>
  <c r="P102" i="2" s="1"/>
  <c r="P104" i="1"/>
  <c r="P103" i="2" s="1"/>
  <c r="P105" i="1"/>
  <c r="P104" i="2" s="1"/>
  <c r="P106" i="1"/>
  <c r="P105" i="2" s="1"/>
  <c r="P107" i="1"/>
  <c r="P106" i="2" s="1"/>
  <c r="P108" i="1"/>
  <c r="P107" i="2" s="1"/>
  <c r="P109" i="1"/>
  <c r="P108" i="2" s="1"/>
  <c r="P110" i="1"/>
  <c r="P109" i="2" s="1"/>
  <c r="P111" i="1"/>
  <c r="P110" i="2" s="1"/>
  <c r="P112" i="1"/>
  <c r="P111" i="2" s="1"/>
  <c r="P113" i="1"/>
  <c r="P112" i="2" s="1"/>
  <c r="P114" i="1"/>
  <c r="P113" i="2" s="1"/>
  <c r="P115" i="1"/>
  <c r="P114" i="2" s="1"/>
  <c r="P116" i="1"/>
  <c r="P115" i="2" s="1"/>
  <c r="P117" i="1"/>
  <c r="P116" i="2" s="1"/>
  <c r="P118" i="1"/>
  <c r="P117" i="2" s="1"/>
  <c r="P119" i="1"/>
  <c r="P118" i="2" s="1"/>
  <c r="P120" i="1"/>
  <c r="P119" i="2" s="1"/>
  <c r="P121" i="1"/>
  <c r="P120" i="2" s="1"/>
  <c r="P122" i="1"/>
  <c r="P121" i="2" s="1"/>
  <c r="P123" i="1"/>
  <c r="P122" i="2" s="1"/>
  <c r="P124" i="1"/>
  <c r="P123" i="2" s="1"/>
  <c r="P125" i="1"/>
  <c r="P124" i="2" s="1"/>
  <c r="P126" i="1"/>
  <c r="P125" i="2" s="1"/>
  <c r="P127" i="1"/>
  <c r="P126" i="2" s="1"/>
  <c r="P128" i="1"/>
  <c r="P127" i="2" s="1"/>
  <c r="P129" i="1"/>
  <c r="P128" i="2" s="1"/>
  <c r="P130" i="1"/>
  <c r="P129" i="2" s="1"/>
  <c r="P131" i="1"/>
  <c r="P130" i="2" s="1"/>
  <c r="P132" i="1"/>
  <c r="P131" i="2" s="1"/>
  <c r="P133" i="1"/>
  <c r="P132" i="2" s="1"/>
  <c r="P134" i="1"/>
  <c r="P133" i="2" s="1"/>
  <c r="P135" i="1"/>
  <c r="P134" i="2" s="1"/>
  <c r="P136" i="1"/>
  <c r="P135" i="2" s="1"/>
  <c r="P137" i="1"/>
  <c r="P136" i="2" s="1"/>
  <c r="P138" i="1"/>
  <c r="P137" i="2" s="1"/>
  <c r="P139" i="1"/>
  <c r="P138" i="2" s="1"/>
  <c r="P140" i="1"/>
  <c r="P139" i="2" s="1"/>
  <c r="P141" i="1"/>
  <c r="P140" i="2" s="1"/>
  <c r="P142" i="1"/>
  <c r="P141" i="2" s="1"/>
  <c r="P143" i="1"/>
  <c r="P142" i="2" s="1"/>
  <c r="P144" i="1"/>
  <c r="P143" i="2" s="1"/>
  <c r="P145" i="1"/>
  <c r="P144" i="2" s="1"/>
  <c r="P146" i="1"/>
  <c r="P145" i="2" s="1"/>
  <c r="P147" i="1"/>
  <c r="P146" i="2" s="1"/>
  <c r="P148" i="1"/>
  <c r="P147" i="2" s="1"/>
  <c r="P149" i="1"/>
  <c r="P148" i="2" s="1"/>
  <c r="P150" i="1"/>
  <c r="P149" i="2" s="1"/>
  <c r="P151" i="1"/>
  <c r="P150" i="2" s="1"/>
  <c r="P152" i="1"/>
  <c r="P151" i="2" s="1"/>
  <c r="P153" i="1"/>
  <c r="P152" i="2" s="1"/>
  <c r="P154" i="1"/>
  <c r="P153" i="2" s="1"/>
  <c r="P155" i="1"/>
  <c r="P154" i="2" s="1"/>
  <c r="P156" i="1"/>
  <c r="P155" i="2" s="1"/>
  <c r="P157" i="1"/>
  <c r="P156" i="2" s="1"/>
  <c r="P158" i="1"/>
  <c r="P157" i="2" s="1"/>
  <c r="P159" i="1"/>
  <c r="P158" i="2" s="1"/>
  <c r="P160" i="1"/>
  <c r="P159" i="2" s="1"/>
  <c r="P161" i="1"/>
  <c r="P160" i="2" s="1"/>
  <c r="P162" i="1"/>
  <c r="P161" i="2" s="1"/>
  <c r="P163" i="1"/>
  <c r="P162" i="2" s="1"/>
  <c r="P164" i="1"/>
  <c r="P163" i="2" s="1"/>
  <c r="P165" i="1"/>
  <c r="P164" i="2" s="1"/>
  <c r="P166" i="1"/>
  <c r="P165" i="2" s="1"/>
  <c r="P167" i="1"/>
  <c r="P166" i="2" s="1"/>
  <c r="P168" i="1"/>
  <c r="P167" i="2" s="1"/>
  <c r="P169" i="1"/>
  <c r="P168" i="2" s="1"/>
  <c r="P170" i="1"/>
  <c r="P169" i="2" s="1"/>
  <c r="P171" i="1"/>
  <c r="P170" i="2" s="1"/>
  <c r="P172" i="1"/>
  <c r="P171" i="2" s="1"/>
  <c r="P173" i="1"/>
  <c r="P172" i="2" s="1"/>
  <c r="P174" i="1"/>
  <c r="P173" i="2" s="1"/>
  <c r="P175" i="1"/>
  <c r="P174" i="2" s="1"/>
  <c r="P176" i="1"/>
  <c r="P175" i="2" s="1"/>
  <c r="P177" i="1"/>
  <c r="P176" i="2" s="1"/>
  <c r="P178" i="1"/>
  <c r="P177" i="2" s="1"/>
  <c r="P179" i="1"/>
  <c r="P178" i="2" s="1"/>
  <c r="P180" i="1"/>
  <c r="P179" i="2" s="1"/>
  <c r="P181" i="1"/>
  <c r="P180" i="2" s="1"/>
  <c r="P182" i="1"/>
  <c r="P181" i="2" s="1"/>
  <c r="P183" i="1"/>
  <c r="P182" i="2" s="1"/>
  <c r="P184" i="1"/>
  <c r="P183" i="2" s="1"/>
  <c r="P185" i="1"/>
  <c r="P184" i="2" s="1"/>
  <c r="P186" i="1"/>
  <c r="P185" i="2" s="1"/>
  <c r="P187" i="1"/>
  <c r="P186" i="2" s="1"/>
  <c r="P188" i="1"/>
  <c r="P187" i="2" s="1"/>
  <c r="P189" i="1"/>
  <c r="P188" i="2" s="1"/>
  <c r="P190" i="1"/>
  <c r="P189" i="2" s="1"/>
  <c r="P191" i="1"/>
  <c r="P190" i="2" s="1"/>
  <c r="P192" i="1"/>
  <c r="P191" i="2" s="1"/>
  <c r="P193" i="1"/>
  <c r="P192" i="2" s="1"/>
  <c r="P194" i="1"/>
  <c r="P193" i="2" s="1"/>
  <c r="P195" i="1"/>
  <c r="P194" i="2" s="1"/>
  <c r="P196" i="1"/>
  <c r="P195" i="2" s="1"/>
  <c r="P197" i="1"/>
  <c r="P196" i="2" s="1"/>
  <c r="P198" i="1"/>
  <c r="P197" i="2" s="1"/>
  <c r="P199" i="1"/>
  <c r="P198" i="2" s="1"/>
  <c r="P200" i="1"/>
  <c r="P199" i="2" s="1"/>
  <c r="P201" i="1"/>
  <c r="P200" i="2" s="1"/>
  <c r="P202" i="1"/>
  <c r="P201" i="2" s="1"/>
  <c r="P203" i="1"/>
  <c r="P202" i="2" s="1"/>
  <c r="P204" i="1"/>
  <c r="P203" i="2" s="1"/>
  <c r="P205" i="1"/>
  <c r="P204" i="2" s="1"/>
  <c r="P206" i="1"/>
  <c r="P205" i="2" s="1"/>
  <c r="P207" i="1"/>
  <c r="P206" i="2" s="1"/>
  <c r="P208" i="1"/>
  <c r="P207" i="2" s="1"/>
  <c r="P209" i="1"/>
  <c r="P208" i="2" s="1"/>
  <c r="P210" i="1"/>
  <c r="P209" i="2" s="1"/>
  <c r="P211" i="1"/>
  <c r="P210" i="2" s="1"/>
  <c r="P212" i="1"/>
  <c r="P211" i="2" s="1"/>
  <c r="P213" i="1"/>
  <c r="P212" i="2" s="1"/>
  <c r="P214" i="1"/>
  <c r="P213" i="2" s="1"/>
  <c r="P215" i="1"/>
  <c r="P214" i="2" s="1"/>
  <c r="P216" i="1"/>
  <c r="P215" i="2" s="1"/>
  <c r="P217" i="1"/>
  <c r="P216" i="2" s="1"/>
  <c r="P218" i="1"/>
  <c r="P217" i="2" s="1"/>
  <c r="P219" i="1"/>
  <c r="P218" i="2" s="1"/>
  <c r="P220" i="1"/>
  <c r="P219" i="2" s="1"/>
  <c r="P221" i="1"/>
  <c r="P220" i="2" s="1"/>
  <c r="P222" i="1"/>
  <c r="P221" i="2" s="1"/>
  <c r="P223" i="1"/>
  <c r="P222" i="2" s="1"/>
  <c r="P224" i="1"/>
  <c r="P223" i="2" s="1"/>
  <c r="P225" i="1"/>
  <c r="P224" i="2" s="1"/>
  <c r="P226" i="1"/>
  <c r="P225" i="2" s="1"/>
  <c r="P227" i="1"/>
  <c r="P226" i="2" s="1"/>
  <c r="P228" i="1"/>
  <c r="P227" i="2" s="1"/>
  <c r="P229" i="1"/>
  <c r="P228" i="2" s="1"/>
  <c r="P230" i="1"/>
  <c r="P229" i="2" s="1"/>
  <c r="P231" i="1"/>
  <c r="P230" i="2" s="1"/>
  <c r="P232" i="1"/>
  <c r="P231" i="2" s="1"/>
  <c r="P233" i="1"/>
  <c r="P232" i="2" s="1"/>
  <c r="P234" i="1"/>
  <c r="P233" i="2" s="1"/>
  <c r="P235" i="1"/>
  <c r="P234" i="2" s="1"/>
  <c r="P236" i="1"/>
  <c r="P235" i="2" s="1"/>
  <c r="P237" i="1"/>
  <c r="P236" i="2" s="1"/>
  <c r="P238" i="1"/>
  <c r="P237" i="2" s="1"/>
  <c r="P239" i="1"/>
  <c r="P238" i="2" s="1"/>
  <c r="P240" i="1"/>
  <c r="P239" i="2" s="1"/>
  <c r="P241" i="1"/>
  <c r="P240" i="2" s="1"/>
  <c r="P242" i="1"/>
  <c r="P241" i="2" s="1"/>
  <c r="P243" i="1"/>
  <c r="P242" i="2" s="1"/>
  <c r="P244" i="1"/>
  <c r="P243" i="2" s="1"/>
  <c r="P245" i="1"/>
  <c r="P244" i="2" s="1"/>
  <c r="P246" i="1"/>
  <c r="P245" i="2" s="1"/>
  <c r="P247" i="1"/>
  <c r="P246" i="2" s="1"/>
  <c r="P248" i="1"/>
  <c r="P247" i="2" s="1"/>
  <c r="P249" i="1"/>
  <c r="P248" i="2" s="1"/>
  <c r="P250" i="1"/>
  <c r="P249" i="2" s="1"/>
  <c r="P251" i="1"/>
  <c r="P250" i="2" s="1"/>
  <c r="P252" i="1"/>
  <c r="P251" i="2" s="1"/>
  <c r="P253" i="1"/>
  <c r="P252" i="2" s="1"/>
  <c r="P254" i="1"/>
  <c r="P253" i="2" s="1"/>
  <c r="P255" i="1"/>
  <c r="P254" i="2" s="1"/>
  <c r="P256" i="1"/>
  <c r="P255" i="2" s="1"/>
  <c r="P257" i="1"/>
  <c r="P256" i="2" s="1"/>
  <c r="P258" i="1"/>
  <c r="P257" i="2" s="1"/>
  <c r="P259" i="1"/>
  <c r="P258" i="2" s="1"/>
  <c r="P260" i="1"/>
  <c r="P259" i="2" s="1"/>
  <c r="P261" i="1"/>
  <c r="P260" i="2" s="1"/>
  <c r="P262" i="1"/>
  <c r="P261" i="2" s="1"/>
  <c r="P263" i="1"/>
  <c r="P262" i="2" s="1"/>
  <c r="P264" i="1"/>
  <c r="P263" i="2" s="1"/>
  <c r="P265" i="1"/>
  <c r="P264" i="2" s="1"/>
  <c r="P266" i="1"/>
  <c r="P265" i="2" s="1"/>
  <c r="P267" i="1"/>
  <c r="P266" i="2" s="1"/>
  <c r="P268" i="1"/>
  <c r="P267" i="2" s="1"/>
  <c r="P269" i="1"/>
  <c r="P268" i="2" s="1"/>
  <c r="P270" i="1"/>
  <c r="P269" i="2" s="1"/>
  <c r="P271" i="1"/>
  <c r="P270" i="2" s="1"/>
  <c r="P272" i="1"/>
  <c r="P271" i="2" s="1"/>
  <c r="P273" i="1"/>
  <c r="P272" i="2" s="1"/>
  <c r="P274" i="1"/>
  <c r="P273" i="2" s="1"/>
  <c r="P275" i="1"/>
  <c r="P274" i="2" s="1"/>
  <c r="P276" i="1"/>
  <c r="P275" i="2" s="1"/>
  <c r="P277" i="1"/>
  <c r="P276" i="2" s="1"/>
  <c r="P278" i="1"/>
  <c r="P277" i="2" s="1"/>
  <c r="P279" i="1"/>
  <c r="P278" i="2" s="1"/>
  <c r="P280" i="1"/>
  <c r="P279" i="2" s="1"/>
  <c r="P281" i="1"/>
  <c r="P280" i="2" s="1"/>
  <c r="P282" i="1"/>
  <c r="P281" i="2" s="1"/>
  <c r="P283" i="1"/>
  <c r="P282" i="2" s="1"/>
  <c r="P284" i="1"/>
  <c r="P283" i="2" s="1"/>
  <c r="P285" i="1"/>
  <c r="P284" i="2" s="1"/>
  <c r="P286" i="1"/>
  <c r="P285" i="2" s="1"/>
  <c r="P287" i="1"/>
  <c r="P286" i="2" s="1"/>
  <c r="P288" i="1"/>
  <c r="P287" i="2" s="1"/>
  <c r="P289" i="1"/>
  <c r="P288" i="2" s="1"/>
  <c r="P290" i="1"/>
  <c r="P289" i="2" s="1"/>
  <c r="P291" i="1"/>
  <c r="P290" i="2" s="1"/>
  <c r="P292" i="1"/>
  <c r="P291" i="2" s="1"/>
  <c r="P293" i="1"/>
  <c r="P292" i="2" s="1"/>
  <c r="P294" i="1"/>
  <c r="P293" i="2" s="1"/>
  <c r="P295" i="1"/>
  <c r="P294" i="2" s="1"/>
  <c r="P296" i="1"/>
  <c r="P295" i="2" s="1"/>
  <c r="P297" i="1"/>
  <c r="P296" i="2" s="1"/>
  <c r="P298" i="1"/>
  <c r="P297" i="2" s="1"/>
  <c r="P299" i="1"/>
  <c r="P298" i="2" s="1"/>
  <c r="P300" i="1"/>
  <c r="P299" i="2" s="1"/>
  <c r="P301" i="1"/>
  <c r="P300" i="2" s="1"/>
  <c r="P302" i="1"/>
  <c r="P301" i="2" s="1"/>
  <c r="P303" i="1"/>
  <c r="P302" i="2" s="1"/>
  <c r="P304" i="1"/>
  <c r="P303" i="2" s="1"/>
  <c r="P305" i="1"/>
  <c r="P304" i="2" s="1"/>
  <c r="P306" i="1"/>
  <c r="P305" i="2" s="1"/>
  <c r="P307" i="1"/>
  <c r="P306" i="2" s="1"/>
  <c r="P308" i="1"/>
  <c r="P307" i="2" s="1"/>
  <c r="P309" i="1"/>
  <c r="P308" i="2" s="1"/>
  <c r="P310" i="1"/>
  <c r="P309" i="2" s="1"/>
  <c r="P311" i="1"/>
  <c r="P310" i="2" s="1"/>
  <c r="P312" i="1"/>
  <c r="P311" i="2" s="1"/>
  <c r="P313" i="1"/>
  <c r="P312" i="2" s="1"/>
  <c r="P314" i="1"/>
  <c r="P313" i="2" s="1"/>
  <c r="P315" i="1"/>
  <c r="P314" i="2" s="1"/>
  <c r="P316" i="1"/>
  <c r="P315" i="2" s="1"/>
  <c r="P317" i="1"/>
  <c r="P316" i="2" s="1"/>
  <c r="P318" i="1"/>
  <c r="P317" i="2" s="1"/>
  <c r="P319" i="1"/>
  <c r="P318" i="2" s="1"/>
  <c r="P320" i="1"/>
  <c r="P319" i="2" s="1"/>
  <c r="P321" i="1"/>
  <c r="P320" i="2" s="1"/>
  <c r="P322" i="1"/>
  <c r="P321" i="2" s="1"/>
  <c r="P323" i="1"/>
  <c r="P322" i="2" s="1"/>
  <c r="P324" i="1"/>
  <c r="P323" i="2" s="1"/>
  <c r="P325" i="1"/>
  <c r="P324" i="2" s="1"/>
  <c r="P326" i="1"/>
  <c r="P325" i="2" s="1"/>
  <c r="P327" i="1"/>
  <c r="P326" i="2" s="1"/>
  <c r="P328" i="1"/>
  <c r="P327" i="2" s="1"/>
  <c r="P329" i="1"/>
  <c r="P328" i="2" s="1"/>
  <c r="P330" i="1"/>
  <c r="P329" i="2" s="1"/>
  <c r="P331" i="1"/>
  <c r="P330" i="2" s="1"/>
  <c r="P332" i="1"/>
  <c r="P331" i="2" s="1"/>
  <c r="P333" i="1"/>
  <c r="P332" i="2" s="1"/>
  <c r="P334" i="1"/>
  <c r="P333" i="2" s="1"/>
  <c r="P335" i="1"/>
  <c r="P334" i="2" s="1"/>
  <c r="P336" i="1"/>
  <c r="P335" i="2" s="1"/>
  <c r="P337" i="1"/>
  <c r="P336" i="2" s="1"/>
  <c r="P338" i="1"/>
  <c r="P337" i="2" s="1"/>
  <c r="P339" i="1"/>
  <c r="P338" i="2" s="1"/>
  <c r="P340" i="1"/>
  <c r="P339" i="2" s="1"/>
  <c r="P341" i="1"/>
  <c r="P340" i="2" s="1"/>
  <c r="P342" i="1"/>
  <c r="P341" i="2" s="1"/>
  <c r="P343" i="1"/>
  <c r="P342" i="2" s="1"/>
  <c r="P344" i="1"/>
  <c r="P343" i="2" s="1"/>
  <c r="P345" i="1"/>
  <c r="P344" i="2" s="1"/>
  <c r="P346" i="1"/>
  <c r="P345" i="2" s="1"/>
  <c r="P347" i="1"/>
  <c r="P346" i="2" s="1"/>
  <c r="P348" i="1"/>
  <c r="P347" i="2" s="1"/>
  <c r="P349" i="1"/>
  <c r="P348" i="2" s="1"/>
  <c r="P350" i="1"/>
  <c r="P349" i="2" s="1"/>
  <c r="P351" i="1"/>
  <c r="P350" i="2" s="1"/>
  <c r="P352" i="1"/>
  <c r="P351" i="2" s="1"/>
  <c r="P353" i="1"/>
  <c r="P352" i="2" s="1"/>
  <c r="P354" i="1"/>
  <c r="P353" i="2" s="1"/>
  <c r="P355" i="1"/>
  <c r="P354" i="2" s="1"/>
  <c r="P356" i="1"/>
  <c r="P355" i="2" s="1"/>
  <c r="P357" i="1"/>
  <c r="P356" i="2" s="1"/>
  <c r="P358" i="1"/>
  <c r="P357" i="2" s="1"/>
  <c r="P359" i="1"/>
  <c r="P358" i="2" s="1"/>
  <c r="P360" i="1"/>
  <c r="P359" i="2" s="1"/>
  <c r="P361" i="1"/>
  <c r="P360" i="2" s="1"/>
  <c r="P362" i="1"/>
  <c r="P361" i="2" s="1"/>
  <c r="P363" i="1"/>
  <c r="P362" i="2" s="1"/>
  <c r="P364" i="1"/>
  <c r="P363" i="2" s="1"/>
  <c r="P365" i="1"/>
  <c r="P364" i="2" s="1"/>
  <c r="P366" i="1"/>
  <c r="P365" i="2" s="1"/>
  <c r="P367" i="1"/>
  <c r="P366" i="2" s="1"/>
  <c r="P368" i="1"/>
  <c r="P367" i="2" s="1"/>
  <c r="P369" i="1"/>
  <c r="P368" i="2" s="1"/>
  <c r="P370" i="1"/>
  <c r="P369" i="2" s="1"/>
  <c r="P371" i="1"/>
  <c r="P370" i="2" s="1"/>
  <c r="P372" i="1"/>
  <c r="P371" i="2" s="1"/>
  <c r="P373" i="1"/>
  <c r="P372" i="2" s="1"/>
  <c r="P374" i="1"/>
  <c r="P373" i="2" s="1"/>
  <c r="P375" i="1"/>
  <c r="P374" i="2" s="1"/>
  <c r="P376" i="1"/>
  <c r="P375" i="2" s="1"/>
  <c r="P377" i="1"/>
  <c r="P376" i="2" s="1"/>
  <c r="P378" i="1"/>
  <c r="P377" i="2" s="1"/>
  <c r="P379" i="1"/>
  <c r="P378" i="2" s="1"/>
  <c r="P380" i="1"/>
  <c r="P379" i="2" s="1"/>
  <c r="P381" i="1"/>
  <c r="P380" i="2" s="1"/>
  <c r="P382" i="1"/>
  <c r="P381" i="2" s="1"/>
  <c r="P383" i="1"/>
  <c r="P382" i="2" s="1"/>
  <c r="P384" i="1"/>
  <c r="P383" i="2" s="1"/>
  <c r="P385" i="1"/>
  <c r="P384" i="2" s="1"/>
  <c r="P386" i="1"/>
  <c r="P385" i="2" s="1"/>
  <c r="P387" i="1"/>
  <c r="P386" i="2" s="1"/>
  <c r="P388" i="1"/>
  <c r="P387" i="2" s="1"/>
  <c r="P389" i="1"/>
  <c r="P388" i="2" s="1"/>
  <c r="P390" i="1"/>
  <c r="P389" i="2" s="1"/>
  <c r="P391" i="1"/>
  <c r="P390" i="2" s="1"/>
  <c r="P392" i="1"/>
  <c r="P391" i="2" s="1"/>
  <c r="P393" i="1"/>
  <c r="P392" i="2" s="1"/>
  <c r="P394" i="1"/>
  <c r="P393" i="2" s="1"/>
  <c r="P395" i="1"/>
  <c r="P394" i="2" s="1"/>
  <c r="P396" i="1"/>
  <c r="P395" i="2" s="1"/>
  <c r="P397" i="1"/>
  <c r="P396" i="2" s="1"/>
  <c r="P398" i="1"/>
  <c r="P397" i="2" s="1"/>
  <c r="P399" i="1"/>
  <c r="P398" i="2" s="1"/>
  <c r="P400" i="1"/>
  <c r="P399" i="2" s="1"/>
  <c r="P401" i="1"/>
  <c r="P400" i="2" s="1"/>
  <c r="P402" i="1"/>
  <c r="P401" i="2" s="1"/>
  <c r="P403" i="1"/>
  <c r="P402" i="2" s="1"/>
  <c r="P404" i="1"/>
  <c r="P403" i="2" s="1"/>
  <c r="P405" i="1"/>
  <c r="P404" i="2" s="1"/>
  <c r="P406" i="1"/>
  <c r="P405" i="2" s="1"/>
  <c r="P407" i="1"/>
  <c r="P406" i="2" s="1"/>
  <c r="P408" i="1"/>
  <c r="P407" i="2" s="1"/>
  <c r="P409" i="1"/>
  <c r="P408" i="2" s="1"/>
  <c r="P410" i="1"/>
  <c r="P409" i="2" s="1"/>
  <c r="P411" i="1"/>
  <c r="P410" i="2" s="1"/>
  <c r="P412" i="1"/>
  <c r="P411" i="2" s="1"/>
  <c r="P413" i="1"/>
  <c r="P412" i="2" s="1"/>
  <c r="P414" i="1"/>
  <c r="P413" i="2" s="1"/>
  <c r="P415" i="1"/>
  <c r="P414" i="2" s="1"/>
  <c r="P416" i="1"/>
  <c r="P415" i="2" s="1"/>
  <c r="P417" i="1"/>
  <c r="P416" i="2" s="1"/>
  <c r="P418" i="1"/>
  <c r="P417" i="2" s="1"/>
  <c r="P419" i="1"/>
  <c r="P418" i="2" s="1"/>
  <c r="P420" i="1"/>
  <c r="P419" i="2" s="1"/>
  <c r="P421" i="1"/>
  <c r="P420" i="2" s="1"/>
  <c r="P422" i="1"/>
  <c r="P421" i="2" s="1"/>
  <c r="P423" i="1"/>
  <c r="P422" i="2" s="1"/>
  <c r="P424" i="1"/>
  <c r="P423" i="2" s="1"/>
  <c r="P425" i="1"/>
  <c r="P424" i="2" s="1"/>
  <c r="P426" i="1"/>
  <c r="P425" i="2" s="1"/>
  <c r="P427" i="1"/>
  <c r="P426" i="2" s="1"/>
  <c r="P428" i="1"/>
  <c r="P427" i="2" s="1"/>
  <c r="P429" i="1"/>
  <c r="P428" i="2" s="1"/>
  <c r="P430" i="1"/>
  <c r="P429" i="2" s="1"/>
  <c r="P431" i="1"/>
  <c r="P430" i="2" s="1"/>
  <c r="P432" i="1"/>
  <c r="P431" i="2" s="1"/>
  <c r="P433" i="1"/>
  <c r="P432" i="2" s="1"/>
  <c r="P434" i="1"/>
  <c r="P433" i="2" s="1"/>
  <c r="P435" i="1"/>
  <c r="P434" i="2" s="1"/>
  <c r="P436" i="1"/>
  <c r="P435" i="2" s="1"/>
  <c r="P437" i="1"/>
  <c r="P436" i="2" s="1"/>
  <c r="P438" i="1"/>
  <c r="P437" i="2" s="1"/>
  <c r="P439" i="1"/>
  <c r="P438" i="2" s="1"/>
  <c r="P440" i="1"/>
  <c r="P439" i="2" s="1"/>
  <c r="P441" i="1"/>
  <c r="P440" i="2" s="1"/>
  <c r="P442" i="1"/>
  <c r="P441" i="2" s="1"/>
  <c r="P443" i="1"/>
  <c r="P442" i="2" s="1"/>
  <c r="P444" i="1"/>
  <c r="P443" i="2" s="1"/>
  <c r="P445" i="1"/>
  <c r="P444" i="2" s="1"/>
  <c r="P446" i="1"/>
  <c r="P445" i="2" s="1"/>
  <c r="P447" i="1"/>
  <c r="P446" i="2" s="1"/>
  <c r="P448" i="1"/>
  <c r="P447" i="2" s="1"/>
  <c r="P449" i="1"/>
  <c r="P448" i="2" s="1"/>
  <c r="P450" i="1"/>
  <c r="P449" i="2" s="1"/>
  <c r="P451" i="1"/>
  <c r="P450" i="2" s="1"/>
  <c r="P452" i="1"/>
  <c r="P451" i="2" s="1"/>
  <c r="P453" i="1"/>
  <c r="P452" i="2" s="1"/>
  <c r="P454" i="1"/>
  <c r="P453" i="2" s="1"/>
  <c r="P455" i="1"/>
  <c r="P454" i="2" s="1"/>
  <c r="P456" i="1"/>
  <c r="P455" i="2" s="1"/>
  <c r="P457" i="1"/>
  <c r="P456" i="2" s="1"/>
  <c r="P458" i="1"/>
  <c r="P457" i="2" s="1"/>
  <c r="P459" i="1"/>
  <c r="P458" i="2" s="1"/>
  <c r="P460" i="1"/>
  <c r="P459" i="2" s="1"/>
  <c r="P461" i="1"/>
  <c r="P460" i="2" s="1"/>
  <c r="P462" i="1"/>
  <c r="P461" i="2" s="1"/>
  <c r="P463" i="1"/>
  <c r="P462" i="2" s="1"/>
  <c r="P464" i="1"/>
  <c r="P463" i="2" s="1"/>
  <c r="P465" i="1"/>
  <c r="P464" i="2" s="1"/>
  <c r="P466" i="1"/>
  <c r="P465" i="2" s="1"/>
  <c r="P467" i="1"/>
  <c r="P466" i="2" s="1"/>
  <c r="P468" i="1"/>
  <c r="P467" i="2" s="1"/>
  <c r="P469" i="1"/>
  <c r="P468" i="2" s="1"/>
  <c r="P470" i="1"/>
  <c r="P469" i="2" s="1"/>
  <c r="P471" i="1"/>
  <c r="P470" i="2" s="1"/>
  <c r="P472" i="1"/>
  <c r="P471" i="2" s="1"/>
  <c r="P473" i="1"/>
  <c r="P472" i="2" s="1"/>
  <c r="P474" i="1"/>
  <c r="P473" i="2" s="1"/>
  <c r="P475" i="1"/>
  <c r="P474" i="2" s="1"/>
  <c r="P476" i="1"/>
  <c r="P475" i="2" s="1"/>
  <c r="P477" i="1"/>
  <c r="P476" i="2" s="1"/>
  <c r="P478" i="1"/>
  <c r="P477" i="2" s="1"/>
  <c r="P479" i="1"/>
  <c r="P478" i="2" s="1"/>
  <c r="P480" i="1"/>
  <c r="P479" i="2" s="1"/>
  <c r="P481" i="1"/>
  <c r="P480" i="2" s="1"/>
  <c r="P482" i="1"/>
  <c r="P481" i="2" s="1"/>
  <c r="P483" i="1"/>
  <c r="P482" i="2" s="1"/>
  <c r="P484" i="1"/>
  <c r="P483" i="2" s="1"/>
  <c r="P485" i="1"/>
  <c r="P484" i="2" s="1"/>
  <c r="P486" i="1"/>
  <c r="P485" i="2" s="1"/>
  <c r="P487" i="1"/>
  <c r="P486" i="2" s="1"/>
  <c r="P488" i="1"/>
  <c r="P487" i="2" s="1"/>
  <c r="P489" i="1"/>
  <c r="P488" i="2" s="1"/>
  <c r="P490" i="1"/>
  <c r="P489" i="2" s="1"/>
  <c r="P491" i="1"/>
  <c r="P490" i="2" s="1"/>
  <c r="P492" i="1"/>
  <c r="P491" i="2" s="1"/>
  <c r="P493" i="1"/>
  <c r="P492" i="2" s="1"/>
  <c r="P494" i="1"/>
  <c r="P493" i="2" s="1"/>
  <c r="P495" i="1"/>
  <c r="P494" i="2" s="1"/>
  <c r="P496" i="1"/>
  <c r="P495" i="2" s="1"/>
  <c r="P497" i="1"/>
  <c r="P496" i="2" s="1"/>
  <c r="P498" i="1"/>
  <c r="P497" i="2" s="1"/>
  <c r="P499" i="1"/>
  <c r="P498" i="2" s="1"/>
  <c r="P500" i="1"/>
  <c r="P499" i="2" s="1"/>
  <c r="P501" i="1"/>
  <c r="P500" i="2" s="1"/>
  <c r="P502" i="1"/>
  <c r="P503" i="1"/>
  <c r="P504" i="1"/>
  <c r="P505" i="1"/>
  <c r="N16" i="3"/>
  <c r="O16" i="3" s="1"/>
  <c r="N17" i="3"/>
  <c r="O17" i="3" s="1"/>
  <c r="N18" i="3"/>
  <c r="O18" i="3" s="1"/>
  <c r="N14" i="3"/>
  <c r="O14" i="3" s="1"/>
  <c r="N15" i="3"/>
  <c r="O15" i="3" s="1"/>
  <c r="N13" i="3"/>
  <c r="O13" i="3" s="1"/>
  <c r="B8" i="4"/>
  <c r="B9" i="4"/>
  <c r="B10" i="4"/>
  <c r="B11" i="4"/>
  <c r="B12" i="4"/>
  <c r="B13" i="4"/>
  <c r="B7" i="4"/>
  <c r="O6" i="1"/>
  <c r="O5" i="2" s="1"/>
  <c r="N6" i="3"/>
  <c r="B20" i="3"/>
  <c r="B19" i="3"/>
  <c r="B18" i="3"/>
  <c r="B17" i="3"/>
  <c r="H16" i="3"/>
  <c r="B16" i="3"/>
  <c r="H15" i="3"/>
  <c r="B15" i="3"/>
  <c r="H14" i="3"/>
  <c r="B14" i="3"/>
  <c r="B13" i="3"/>
  <c r="F6" i="3"/>
  <c r="N5" i="2"/>
  <c r="M5" i="2"/>
  <c r="L5" i="2"/>
  <c r="I5" i="2"/>
  <c r="H5" i="2"/>
  <c r="G5" i="2"/>
  <c r="F5" i="2"/>
  <c r="E5" i="2"/>
  <c r="D5" i="2"/>
  <c r="C5" i="2"/>
  <c r="B5" i="2"/>
  <c r="A5" i="2"/>
  <c r="P6" i="1"/>
  <c r="P5" i="2" s="1"/>
  <c r="S156" i="2" l="1"/>
  <c r="U112" i="2"/>
  <c r="U96" i="2"/>
  <c r="T14" i="2"/>
  <c r="R6" i="2"/>
  <c r="R435" i="2"/>
  <c r="R239" i="2"/>
  <c r="T360" i="2"/>
  <c r="U354" i="2"/>
  <c r="U348" i="2"/>
  <c r="U308" i="2"/>
  <c r="U297" i="2"/>
  <c r="T373" i="2"/>
  <c r="U163" i="2"/>
  <c r="R68" i="2"/>
  <c r="T436" i="2"/>
  <c r="T400" i="2"/>
  <c r="T344" i="2"/>
  <c r="U272" i="2"/>
  <c r="T269" i="2"/>
  <c r="T264" i="2"/>
  <c r="T260" i="2"/>
  <c r="R443" i="2"/>
  <c r="R356" i="2"/>
  <c r="R118" i="2"/>
  <c r="R94" i="2"/>
  <c r="U93" i="2"/>
  <c r="U54" i="2"/>
  <c r="R380" i="2"/>
  <c r="R358" i="2"/>
  <c r="U189" i="2"/>
  <c r="R132" i="2"/>
  <c r="U118" i="2"/>
  <c r="U76" i="2"/>
  <c r="R28" i="2"/>
  <c r="T412" i="2"/>
  <c r="T409" i="2"/>
  <c r="U401" i="2"/>
  <c r="Q394" i="2"/>
  <c r="V394" i="2" s="1"/>
  <c r="T376" i="2"/>
  <c r="U355" i="2"/>
  <c r="U245" i="2"/>
  <c r="U211" i="2"/>
  <c r="U205" i="2"/>
  <c r="T196" i="2"/>
  <c r="R196" i="2"/>
  <c r="U133" i="2"/>
  <c r="U123" i="2"/>
  <c r="U33" i="2"/>
  <c r="Q462" i="2"/>
  <c r="V462" i="2" s="1"/>
  <c r="Q442" i="2"/>
  <c r="V442" i="2" s="1"/>
  <c r="R296" i="2"/>
  <c r="Q250" i="2"/>
  <c r="W250" i="2" s="1"/>
  <c r="U500" i="2"/>
  <c r="U493" i="2"/>
  <c r="U476" i="2"/>
  <c r="U466" i="2"/>
  <c r="R451" i="2"/>
  <c r="U449" i="2"/>
  <c r="T432" i="2"/>
  <c r="U428" i="2"/>
  <c r="T420" i="2"/>
  <c r="U397" i="2"/>
  <c r="U371" i="2"/>
  <c r="R350" i="2"/>
  <c r="U338" i="2"/>
  <c r="U319" i="2"/>
  <c r="U316" i="2"/>
  <c r="T312" i="2"/>
  <c r="U304" i="2"/>
  <c r="T252" i="2"/>
  <c r="U243" i="2"/>
  <c r="R220" i="2"/>
  <c r="U219" i="2"/>
  <c r="U212" i="2"/>
  <c r="U197" i="2"/>
  <c r="U155" i="2"/>
  <c r="T152" i="2"/>
  <c r="U147" i="2"/>
  <c r="U104" i="2"/>
  <c r="R78" i="2"/>
  <c r="U50" i="2"/>
  <c r="U495" i="2"/>
  <c r="T484" i="2"/>
  <c r="U468" i="2"/>
  <c r="Q450" i="2"/>
  <c r="V450" i="2" s="1"/>
  <c r="U444" i="2"/>
  <c r="U433" i="2"/>
  <c r="R364" i="2"/>
  <c r="R306" i="2"/>
  <c r="U300" i="2"/>
  <c r="U268" i="2"/>
  <c r="U253" i="2"/>
  <c r="U220" i="2"/>
  <c r="U204" i="2"/>
  <c r="R164" i="2"/>
  <c r="T160" i="2"/>
  <c r="R122" i="2"/>
  <c r="U99" i="2"/>
  <c r="U95" i="2"/>
  <c r="T92" i="2"/>
  <c r="R86" i="2"/>
  <c r="U85" i="2"/>
  <c r="T68" i="2"/>
  <c r="T53" i="2"/>
  <c r="R19" i="2"/>
  <c r="U10" i="2"/>
  <c r="U477" i="2"/>
  <c r="T465" i="2"/>
  <c r="U396" i="2"/>
  <c r="T336" i="2"/>
  <c r="U318" i="2"/>
  <c r="T305" i="2"/>
  <c r="U303" i="2"/>
  <c r="U285" i="2"/>
  <c r="U278" i="2"/>
  <c r="T256" i="2"/>
  <c r="U251" i="2"/>
  <c r="T244" i="2"/>
  <c r="R222" i="2"/>
  <c r="U177" i="2"/>
  <c r="T172" i="2"/>
  <c r="R156" i="2"/>
  <c r="U154" i="2"/>
  <c r="U146" i="2"/>
  <c r="T120" i="2"/>
  <c r="R71" i="2"/>
  <c r="T188" i="2"/>
  <c r="U188" i="2"/>
  <c r="T13" i="2"/>
  <c r="U13" i="2"/>
  <c r="Q48" i="2"/>
  <c r="W48" i="2" s="1"/>
  <c r="Q40" i="2"/>
  <c r="V40" i="2" s="1"/>
  <c r="Q32" i="2"/>
  <c r="W32" i="2" s="1"/>
  <c r="Q477" i="2"/>
  <c r="W477" i="2" s="1"/>
  <c r="Q470" i="2"/>
  <c r="V470" i="2" s="1"/>
  <c r="R411" i="2"/>
  <c r="U388" i="2"/>
  <c r="T388" i="2"/>
  <c r="S362" i="2"/>
  <c r="U362" i="2"/>
  <c r="T352" i="2"/>
  <c r="U352" i="2"/>
  <c r="T339" i="2"/>
  <c r="U339" i="2"/>
  <c r="Q325" i="2"/>
  <c r="W325" i="2" s="1"/>
  <c r="U132" i="2"/>
  <c r="S132" i="2"/>
  <c r="Q73" i="2"/>
  <c r="W73" i="2" s="1"/>
  <c r="Q485" i="2"/>
  <c r="W485" i="2" s="1"/>
  <c r="Q465" i="2"/>
  <c r="W465" i="2" s="1"/>
  <c r="Q457" i="2"/>
  <c r="W457" i="2" s="1"/>
  <c r="T363" i="2"/>
  <c r="S363" i="2"/>
  <c r="T227" i="2"/>
  <c r="U227" i="2"/>
  <c r="T49" i="2"/>
  <c r="U49" i="2"/>
  <c r="T26" i="2"/>
  <c r="U26" i="2"/>
  <c r="Q111" i="2"/>
  <c r="V111" i="2" s="1"/>
  <c r="Q47" i="2"/>
  <c r="V47" i="2" s="1"/>
  <c r="Q494" i="2"/>
  <c r="V494" i="2" s="1"/>
  <c r="U492" i="2"/>
  <c r="U482" i="2"/>
  <c r="Q469" i="2"/>
  <c r="W469" i="2" s="1"/>
  <c r="U460" i="2"/>
  <c r="U452" i="2"/>
  <c r="R419" i="2"/>
  <c r="S417" i="2"/>
  <c r="U417" i="2"/>
  <c r="Q410" i="2"/>
  <c r="V410" i="2" s="1"/>
  <c r="R403" i="2"/>
  <c r="R395" i="2"/>
  <c r="U389" i="2"/>
  <c r="T379" i="2"/>
  <c r="U379" i="2"/>
  <c r="R366" i="2"/>
  <c r="T349" i="2"/>
  <c r="U349" i="2"/>
  <c r="Q309" i="2"/>
  <c r="W309" i="2" s="1"/>
  <c r="Q290" i="2"/>
  <c r="W290" i="2" s="1"/>
  <c r="T232" i="2"/>
  <c r="U232" i="2"/>
  <c r="R148" i="2"/>
  <c r="S125" i="2"/>
  <c r="U125" i="2"/>
  <c r="T46" i="2"/>
  <c r="U46" i="2"/>
  <c r="Q478" i="2"/>
  <c r="V478" i="2" s="1"/>
  <c r="S443" i="2"/>
  <c r="U443" i="2"/>
  <c r="T248" i="2"/>
  <c r="U248" i="2"/>
  <c r="Q233" i="2"/>
  <c r="W233" i="2" s="1"/>
  <c r="T41" i="2"/>
  <c r="U41" i="2"/>
  <c r="Q375" i="2"/>
  <c r="W375" i="2" s="1"/>
  <c r="Q367" i="2"/>
  <c r="W367" i="2" s="1"/>
  <c r="Q454" i="2"/>
  <c r="V454" i="2" s="1"/>
  <c r="Q446" i="2"/>
  <c r="V446" i="2" s="1"/>
  <c r="Q414" i="2"/>
  <c r="V414" i="2" s="1"/>
  <c r="Q398" i="2"/>
  <c r="V398" i="2" s="1"/>
  <c r="Q386" i="2"/>
  <c r="V386" i="2" s="1"/>
  <c r="Q310" i="2"/>
  <c r="W310" i="2" s="1"/>
  <c r="Q166" i="2"/>
  <c r="V166" i="2" s="1"/>
  <c r="Q82" i="2"/>
  <c r="W82" i="2" s="1"/>
  <c r="U497" i="2"/>
  <c r="Q493" i="2"/>
  <c r="W493" i="2" s="1"/>
  <c r="Q486" i="2"/>
  <c r="V486" i="2" s="1"/>
  <c r="U479" i="2"/>
  <c r="U474" i="2"/>
  <c r="U469" i="2"/>
  <c r="R467" i="2"/>
  <c r="T464" i="2"/>
  <c r="U455" i="2"/>
  <c r="U440" i="2"/>
  <c r="T440" i="2"/>
  <c r="Q438" i="2"/>
  <c r="V438" i="2" s="1"/>
  <c r="Q430" i="2"/>
  <c r="V430" i="2" s="1"/>
  <c r="Q418" i="2"/>
  <c r="V418" i="2" s="1"/>
  <c r="S389" i="2"/>
  <c r="S378" i="2"/>
  <c r="U378" i="2"/>
  <c r="R372" i="2"/>
  <c r="U368" i="2"/>
  <c r="U363" i="2"/>
  <c r="Q361" i="2"/>
  <c r="W361" i="2" s="1"/>
  <c r="S328" i="2"/>
  <c r="U328" i="2"/>
  <c r="R323" i="2"/>
  <c r="W289" i="2"/>
  <c r="R238" i="2"/>
  <c r="T181" i="2"/>
  <c r="U181" i="2"/>
  <c r="Q178" i="2"/>
  <c r="W178" i="2" s="1"/>
  <c r="S176" i="2"/>
  <c r="U176" i="2"/>
  <c r="S162" i="2"/>
  <c r="T162" i="2"/>
  <c r="U162" i="2"/>
  <c r="U140" i="2"/>
  <c r="T140" i="2"/>
  <c r="R12" i="2"/>
  <c r="R342" i="2"/>
  <c r="T321" i="2"/>
  <c r="S296" i="2"/>
  <c r="T293" i="2"/>
  <c r="S291" i="2"/>
  <c r="T288" i="2"/>
  <c r="R284" i="2"/>
  <c r="U275" i="2"/>
  <c r="S241" i="2"/>
  <c r="S235" i="2"/>
  <c r="T229" i="2"/>
  <c r="T200" i="2"/>
  <c r="T180" i="2"/>
  <c r="R180" i="2"/>
  <c r="U170" i="2"/>
  <c r="U156" i="2"/>
  <c r="T149" i="2"/>
  <c r="U131" i="2"/>
  <c r="U126" i="2"/>
  <c r="S115" i="2"/>
  <c r="R98" i="2"/>
  <c r="U29" i="2"/>
  <c r="T22" i="2"/>
  <c r="U17" i="2"/>
  <c r="R16" i="2"/>
  <c r="U6" i="2"/>
  <c r="R320" i="2"/>
  <c r="R252" i="2"/>
  <c r="R243" i="2"/>
  <c r="R135" i="2"/>
  <c r="R124" i="2"/>
  <c r="R106" i="2"/>
  <c r="T23" i="2"/>
  <c r="T9" i="2"/>
  <c r="U402" i="2"/>
  <c r="Q397" i="2"/>
  <c r="W397" i="2" s="1"/>
  <c r="Q353" i="2"/>
  <c r="W353" i="2" s="1"/>
  <c r="R312" i="2"/>
  <c r="R227" i="2"/>
  <c r="R87" i="2"/>
  <c r="V375" i="2"/>
  <c r="R500" i="2"/>
  <c r="Q499" i="2"/>
  <c r="W499" i="2" s="1"/>
  <c r="R495" i="2"/>
  <c r="Q491" i="2"/>
  <c r="W491" i="2" s="1"/>
  <c r="R487" i="2"/>
  <c r="Q484" i="2"/>
  <c r="W484" i="2" s="1"/>
  <c r="Q483" i="2"/>
  <c r="W483" i="2" s="1"/>
  <c r="R479" i="2"/>
  <c r="Q475" i="2"/>
  <c r="R471" i="2"/>
  <c r="Q468" i="2"/>
  <c r="W468" i="2" s="1"/>
  <c r="S467" i="2"/>
  <c r="U467" i="2"/>
  <c r="U456" i="2"/>
  <c r="T456" i="2"/>
  <c r="Q435" i="2"/>
  <c r="W435" i="2" s="1"/>
  <c r="R427" i="2"/>
  <c r="S427" i="2"/>
  <c r="U427" i="2"/>
  <c r="R422" i="2"/>
  <c r="S422" i="2"/>
  <c r="U422" i="2"/>
  <c r="U416" i="2"/>
  <c r="S416" i="2"/>
  <c r="T416" i="2"/>
  <c r="T413" i="2"/>
  <c r="U413" i="2"/>
  <c r="R407" i="2"/>
  <c r="Q401" i="2"/>
  <c r="W401" i="2" s="1"/>
  <c r="Q366" i="2"/>
  <c r="W366" i="2" s="1"/>
  <c r="Q314" i="2"/>
  <c r="W314" i="2" s="1"/>
  <c r="T228" i="2"/>
  <c r="S228" i="2"/>
  <c r="U228" i="2"/>
  <c r="Q176" i="2"/>
  <c r="W176" i="2" s="1"/>
  <c r="R176" i="2"/>
  <c r="Q495" i="2"/>
  <c r="W495" i="2" s="1"/>
  <c r="Q487" i="2"/>
  <c r="W487" i="2" s="1"/>
  <c r="Q479" i="2"/>
  <c r="W479" i="2" s="1"/>
  <c r="Q471" i="2"/>
  <c r="V471" i="2" s="1"/>
  <c r="R463" i="2"/>
  <c r="R462" i="2"/>
  <c r="T462" i="2"/>
  <c r="U462" i="2"/>
  <c r="Q444" i="2"/>
  <c r="W444" i="2" s="1"/>
  <c r="Q443" i="2"/>
  <c r="W443" i="2" s="1"/>
  <c r="T437" i="2"/>
  <c r="U437" i="2"/>
  <c r="S437" i="2"/>
  <c r="Q436" i="2"/>
  <c r="W436" i="2" s="1"/>
  <c r="S435" i="2"/>
  <c r="U435" i="2"/>
  <c r="Q425" i="2"/>
  <c r="W425" i="2" s="1"/>
  <c r="U424" i="2"/>
  <c r="T424" i="2"/>
  <c r="Q403" i="2"/>
  <c r="W403" i="2" s="1"/>
  <c r="R398" i="2"/>
  <c r="R348" i="2"/>
  <c r="R346" i="2"/>
  <c r="S346" i="2"/>
  <c r="U346" i="2"/>
  <c r="T346" i="2"/>
  <c r="Q338" i="2"/>
  <c r="W338" i="2" s="1"/>
  <c r="V315" i="2"/>
  <c r="R307" i="2"/>
  <c r="S298" i="2"/>
  <c r="T298" i="2"/>
  <c r="Q282" i="2"/>
  <c r="W282" i="2" s="1"/>
  <c r="Q185" i="2"/>
  <c r="W185" i="2" s="1"/>
  <c r="W159" i="2"/>
  <c r="V159" i="2"/>
  <c r="U496" i="2"/>
  <c r="S496" i="2"/>
  <c r="T496" i="2"/>
  <c r="U488" i="2"/>
  <c r="S488" i="2"/>
  <c r="T488" i="2"/>
  <c r="U480" i="2"/>
  <c r="S480" i="2"/>
  <c r="T480" i="2"/>
  <c r="U472" i="2"/>
  <c r="S472" i="2"/>
  <c r="T472" i="2"/>
  <c r="R431" i="2"/>
  <c r="R430" i="2"/>
  <c r="S430" i="2"/>
  <c r="U430" i="2"/>
  <c r="Q412" i="2"/>
  <c r="W412" i="2" s="1"/>
  <c r="Q411" i="2"/>
  <c r="W411" i="2" s="1"/>
  <c r="T405" i="2"/>
  <c r="U405" i="2"/>
  <c r="S405" i="2"/>
  <c r="Q404" i="2"/>
  <c r="W404" i="2" s="1"/>
  <c r="S403" i="2"/>
  <c r="U403" i="2"/>
  <c r="R399" i="2"/>
  <c r="T384" i="2"/>
  <c r="U384" i="2"/>
  <c r="S384" i="2"/>
  <c r="Q382" i="2"/>
  <c r="Q378" i="2"/>
  <c r="W378" i="2" s="1"/>
  <c r="V378" i="2"/>
  <c r="Q358" i="2"/>
  <c r="V358" i="2" s="1"/>
  <c r="U292" i="2"/>
  <c r="S292" i="2"/>
  <c r="T292" i="2"/>
  <c r="S266" i="2"/>
  <c r="U266" i="2"/>
  <c r="Q186" i="2"/>
  <c r="W186" i="2" s="1"/>
  <c r="W386" i="2"/>
  <c r="W346" i="2"/>
  <c r="V346" i="2"/>
  <c r="R499" i="2"/>
  <c r="Q498" i="2"/>
  <c r="V498" i="2" s="1"/>
  <c r="T497" i="2"/>
  <c r="R491" i="2"/>
  <c r="Q490" i="2"/>
  <c r="V490" i="2" s="1"/>
  <c r="T489" i="2"/>
  <c r="R483" i="2"/>
  <c r="Q482" i="2"/>
  <c r="V482" i="2" s="1"/>
  <c r="T481" i="2"/>
  <c r="R475" i="2"/>
  <c r="Q474" i="2"/>
  <c r="V474" i="2" s="1"/>
  <c r="T473" i="2"/>
  <c r="Q467" i="2"/>
  <c r="W467" i="2" s="1"/>
  <c r="R459" i="2"/>
  <c r="S459" i="2"/>
  <c r="U459" i="2"/>
  <c r="S456" i="2"/>
  <c r="R454" i="2"/>
  <c r="S454" i="2"/>
  <c r="U454" i="2"/>
  <c r="U448" i="2"/>
  <c r="S448" i="2"/>
  <c r="T448" i="2"/>
  <c r="T445" i="2"/>
  <c r="U445" i="2"/>
  <c r="R439" i="2"/>
  <c r="Q433" i="2"/>
  <c r="W433" i="2" s="1"/>
  <c r="S413" i="2"/>
  <c r="W394" i="2"/>
  <c r="R386" i="2"/>
  <c r="S386" i="2"/>
  <c r="T386" i="2"/>
  <c r="U386" i="2"/>
  <c r="U381" i="2"/>
  <c r="S381" i="2"/>
  <c r="T381" i="2"/>
  <c r="Q376" i="2"/>
  <c r="W376" i="2" s="1"/>
  <c r="U341" i="2"/>
  <c r="S341" i="2"/>
  <c r="T280" i="2"/>
  <c r="U280" i="2"/>
  <c r="S280" i="2"/>
  <c r="Q242" i="2"/>
  <c r="W242" i="2" s="1"/>
  <c r="T136" i="2"/>
  <c r="S136" i="2"/>
  <c r="Q121" i="2"/>
  <c r="W121" i="2" s="1"/>
  <c r="R394" i="2"/>
  <c r="S394" i="2"/>
  <c r="T394" i="2"/>
  <c r="U394" i="2"/>
  <c r="T392" i="2"/>
  <c r="U392" i="2"/>
  <c r="R388" i="2"/>
  <c r="T387" i="2"/>
  <c r="U387" i="2"/>
  <c r="R375" i="2"/>
  <c r="Q371" i="2"/>
  <c r="W371" i="2" s="1"/>
  <c r="Q363" i="2"/>
  <c r="V363" i="2" s="1"/>
  <c r="V359" i="2"/>
  <c r="Q355" i="2"/>
  <c r="W355" i="2" s="1"/>
  <c r="Q345" i="2"/>
  <c r="W345" i="2" s="1"/>
  <c r="R332" i="2"/>
  <c r="Q329" i="2"/>
  <c r="W329" i="2" s="1"/>
  <c r="Q308" i="2"/>
  <c r="V308" i="2" s="1"/>
  <c r="Q300" i="2"/>
  <c r="Q299" i="2"/>
  <c r="V299" i="2" s="1"/>
  <c r="T284" i="2"/>
  <c r="U284" i="2"/>
  <c r="T283" i="2"/>
  <c r="U283" i="2"/>
  <c r="S283" i="2"/>
  <c r="Q254" i="2"/>
  <c r="W254" i="2" s="1"/>
  <c r="T221" i="2"/>
  <c r="U221" i="2"/>
  <c r="Q214" i="2"/>
  <c r="V214" i="2" s="1"/>
  <c r="T195" i="2"/>
  <c r="U195" i="2"/>
  <c r="S195" i="2"/>
  <c r="Q182" i="2"/>
  <c r="W182" i="2" s="1"/>
  <c r="R158" i="2"/>
  <c r="U157" i="2"/>
  <c r="T157" i="2"/>
  <c r="S157" i="2"/>
  <c r="Q138" i="2"/>
  <c r="W138" i="2" s="1"/>
  <c r="S108" i="2"/>
  <c r="T108" i="2"/>
  <c r="U108" i="2"/>
  <c r="Q74" i="2"/>
  <c r="W74" i="2" s="1"/>
  <c r="Q326" i="2"/>
  <c r="W326" i="2" s="1"/>
  <c r="W234" i="2"/>
  <c r="V234" i="2"/>
  <c r="R494" i="2"/>
  <c r="R486" i="2"/>
  <c r="R478" i="2"/>
  <c r="R470" i="2"/>
  <c r="Q458" i="2"/>
  <c r="V458" i="2" s="1"/>
  <c r="T453" i="2"/>
  <c r="U453" i="2"/>
  <c r="Q452" i="2"/>
  <c r="W452" i="2" s="1"/>
  <c r="Q451" i="2"/>
  <c r="R447" i="2"/>
  <c r="Q441" i="2"/>
  <c r="W441" i="2" s="1"/>
  <c r="R438" i="2"/>
  <c r="Q426" i="2"/>
  <c r="V426" i="2" s="1"/>
  <c r="T421" i="2"/>
  <c r="U421" i="2"/>
  <c r="Q420" i="2"/>
  <c r="W420" i="2" s="1"/>
  <c r="Q419" i="2"/>
  <c r="R415" i="2"/>
  <c r="Q409" i="2"/>
  <c r="W409" i="2" s="1"/>
  <c r="R406" i="2"/>
  <c r="Q396" i="2"/>
  <c r="W396" i="2" s="1"/>
  <c r="S395" i="2"/>
  <c r="U395" i="2"/>
  <c r="R390" i="2"/>
  <c r="R383" i="2"/>
  <c r="Q379" i="2"/>
  <c r="V379" i="2" s="1"/>
  <c r="R374" i="2"/>
  <c r="T372" i="2"/>
  <c r="U372" i="2"/>
  <c r="S364" i="2"/>
  <c r="T364" i="2"/>
  <c r="V362" i="2"/>
  <c r="Q362" i="2"/>
  <c r="W362" i="2" s="1"/>
  <c r="S356" i="2"/>
  <c r="T356" i="2"/>
  <c r="V354" i="2"/>
  <c r="Q354" i="2"/>
  <c r="W354" i="2" s="1"/>
  <c r="Q351" i="2"/>
  <c r="W351" i="2" s="1"/>
  <c r="Q339" i="2"/>
  <c r="W339" i="2" s="1"/>
  <c r="T333" i="2"/>
  <c r="S333" i="2"/>
  <c r="U324" i="2"/>
  <c r="S324" i="2"/>
  <c r="Q318" i="2"/>
  <c r="W318" i="2" s="1"/>
  <c r="R315" i="2"/>
  <c r="Q311" i="2"/>
  <c r="W311" i="2" s="1"/>
  <c r="V263" i="2"/>
  <c r="W263" i="2"/>
  <c r="S258" i="2"/>
  <c r="T258" i="2"/>
  <c r="Q247" i="2"/>
  <c r="U240" i="2"/>
  <c r="T240" i="2"/>
  <c r="T208" i="2"/>
  <c r="S208" i="2"/>
  <c r="U208" i="2"/>
  <c r="Q207" i="2"/>
  <c r="T184" i="2"/>
  <c r="U184" i="2"/>
  <c r="S184" i="2"/>
  <c r="Q170" i="2"/>
  <c r="W170" i="2" s="1"/>
  <c r="R140" i="2"/>
  <c r="U61" i="2"/>
  <c r="S61" i="2"/>
  <c r="T61" i="2"/>
  <c r="U499" i="2"/>
  <c r="Q497" i="2"/>
  <c r="W497" i="2" s="1"/>
  <c r="U494" i="2"/>
  <c r="U491" i="2"/>
  <c r="Q489" i="2"/>
  <c r="W489" i="2" s="1"/>
  <c r="U486" i="2"/>
  <c r="U483" i="2"/>
  <c r="Q481" i="2"/>
  <c r="W481" i="2" s="1"/>
  <c r="U478" i="2"/>
  <c r="U475" i="2"/>
  <c r="Q473" i="2"/>
  <c r="W473" i="2" s="1"/>
  <c r="U470" i="2"/>
  <c r="Q466" i="2"/>
  <c r="V466" i="2" s="1"/>
  <c r="T461" i="2"/>
  <c r="U461" i="2"/>
  <c r="R460" i="2"/>
  <c r="Q459" i="2"/>
  <c r="W459" i="2" s="1"/>
  <c r="R455" i="2"/>
  <c r="Q449" i="2"/>
  <c r="W449" i="2" s="1"/>
  <c r="R446" i="2"/>
  <c r="Q434" i="2"/>
  <c r="V434" i="2" s="1"/>
  <c r="T429" i="2"/>
  <c r="U429" i="2"/>
  <c r="Q428" i="2"/>
  <c r="W428" i="2" s="1"/>
  <c r="Q427" i="2"/>
  <c r="W427" i="2" s="1"/>
  <c r="R423" i="2"/>
  <c r="Q417" i="2"/>
  <c r="W417" i="2" s="1"/>
  <c r="R414" i="2"/>
  <c r="Q402" i="2"/>
  <c r="V402" i="2" s="1"/>
  <c r="Q391" i="2"/>
  <c r="R382" i="2"/>
  <c r="T380" i="2"/>
  <c r="U380" i="2"/>
  <c r="Q374" i="2"/>
  <c r="W374" i="2" s="1"/>
  <c r="Q370" i="2"/>
  <c r="Q368" i="2"/>
  <c r="W368" i="2" s="1"/>
  <c r="R367" i="2"/>
  <c r="T365" i="2"/>
  <c r="U365" i="2"/>
  <c r="Q360" i="2"/>
  <c r="V360" i="2" s="1"/>
  <c r="R359" i="2"/>
  <c r="T357" i="2"/>
  <c r="U357" i="2"/>
  <c r="Q352" i="2"/>
  <c r="W352" i="2" s="1"/>
  <c r="U347" i="2"/>
  <c r="Q343" i="2"/>
  <c r="W343" i="2" s="1"/>
  <c r="R340" i="2"/>
  <c r="T340" i="2"/>
  <c r="S340" i="2"/>
  <c r="Q337" i="2"/>
  <c r="W337" i="2" s="1"/>
  <c r="R335" i="2"/>
  <c r="R334" i="2"/>
  <c r="T332" i="2"/>
  <c r="Q331" i="2"/>
  <c r="W331" i="2" s="1"/>
  <c r="Q330" i="2"/>
  <c r="U313" i="2"/>
  <c r="Q266" i="2"/>
  <c r="Q241" i="2"/>
  <c r="W241" i="2" s="1"/>
  <c r="R223" i="2"/>
  <c r="Q175" i="2"/>
  <c r="U173" i="2"/>
  <c r="S173" i="2"/>
  <c r="T173" i="2"/>
  <c r="Q119" i="2"/>
  <c r="W119" i="2" s="1"/>
  <c r="Q105" i="2"/>
  <c r="W105" i="2" s="1"/>
  <c r="Q51" i="2"/>
  <c r="W51" i="2" s="1"/>
  <c r="Q463" i="2"/>
  <c r="V463" i="2" s="1"/>
  <c r="Q461" i="2"/>
  <c r="W461" i="2" s="1"/>
  <c r="Q455" i="2"/>
  <c r="V455" i="2" s="1"/>
  <c r="Q453" i="2"/>
  <c r="W453" i="2" s="1"/>
  <c r="Q447" i="2"/>
  <c r="V447" i="2" s="1"/>
  <c r="Q445" i="2"/>
  <c r="W445" i="2" s="1"/>
  <c r="Q439" i="2"/>
  <c r="Q437" i="2"/>
  <c r="W437" i="2" s="1"/>
  <c r="Q431" i="2"/>
  <c r="V431" i="2" s="1"/>
  <c r="Q429" i="2"/>
  <c r="W429" i="2" s="1"/>
  <c r="Q423" i="2"/>
  <c r="W423" i="2" s="1"/>
  <c r="Q421" i="2"/>
  <c r="W421" i="2" s="1"/>
  <c r="Q415" i="2"/>
  <c r="V415" i="2" s="1"/>
  <c r="Q413" i="2"/>
  <c r="W413" i="2" s="1"/>
  <c r="Q407" i="2"/>
  <c r="V407" i="2" s="1"/>
  <c r="Q405" i="2"/>
  <c r="W405" i="2" s="1"/>
  <c r="Q399" i="2"/>
  <c r="V399" i="2" s="1"/>
  <c r="Q392" i="2"/>
  <c r="R391" i="2"/>
  <c r="Q390" i="2"/>
  <c r="V390" i="2" s="1"/>
  <c r="Q387" i="2"/>
  <c r="W387" i="2" s="1"/>
  <c r="Q384" i="2"/>
  <c r="Q365" i="2"/>
  <c r="R362" i="2"/>
  <c r="R354" i="2"/>
  <c r="R322" i="2"/>
  <c r="R319" i="2"/>
  <c r="T317" i="2"/>
  <c r="U317" i="2"/>
  <c r="R310" i="2"/>
  <c r="Q306" i="2"/>
  <c r="W306" i="2" s="1"/>
  <c r="S277" i="2"/>
  <c r="T277" i="2"/>
  <c r="U277" i="2"/>
  <c r="R268" i="2"/>
  <c r="Q265" i="2"/>
  <c r="W265" i="2" s="1"/>
  <c r="T259" i="2"/>
  <c r="U259" i="2"/>
  <c r="T257" i="2"/>
  <c r="S257" i="2"/>
  <c r="S242" i="2"/>
  <c r="T242" i="2"/>
  <c r="Q231" i="2"/>
  <c r="Q223" i="2"/>
  <c r="V223" i="2" s="1"/>
  <c r="Q222" i="2"/>
  <c r="W222" i="2" s="1"/>
  <c r="Q218" i="2"/>
  <c r="W215" i="2"/>
  <c r="Q201" i="2"/>
  <c r="W201" i="2" s="1"/>
  <c r="Q193" i="2"/>
  <c r="W193" i="2" s="1"/>
  <c r="T191" i="2"/>
  <c r="U191" i="2"/>
  <c r="Q181" i="2"/>
  <c r="W181" i="2" s="1"/>
  <c r="Q161" i="2"/>
  <c r="W161" i="2" s="1"/>
  <c r="Q151" i="2"/>
  <c r="T148" i="2"/>
  <c r="S148" i="2"/>
  <c r="U148" i="2"/>
  <c r="T144" i="2"/>
  <c r="S144" i="2"/>
  <c r="R142" i="2"/>
  <c r="S122" i="2"/>
  <c r="U122" i="2"/>
  <c r="S117" i="2"/>
  <c r="T117" i="2"/>
  <c r="U117" i="2"/>
  <c r="R116" i="2"/>
  <c r="T116" i="2"/>
  <c r="S116" i="2"/>
  <c r="U116" i="2"/>
  <c r="R102" i="2"/>
  <c r="R99" i="2"/>
  <c r="Q97" i="2"/>
  <c r="W97" i="2" s="1"/>
  <c r="V90" i="2"/>
  <c r="Q90" i="2"/>
  <c r="W90" i="2" s="1"/>
  <c r="R76" i="2"/>
  <c r="Q65" i="2"/>
  <c r="W65" i="2" s="1"/>
  <c r="U21" i="2"/>
  <c r="S21" i="2"/>
  <c r="T21" i="2"/>
  <c r="R498" i="2"/>
  <c r="Q496" i="2"/>
  <c r="W496" i="2" s="1"/>
  <c r="R490" i="2"/>
  <c r="R482" i="2"/>
  <c r="R480" i="2"/>
  <c r="R474" i="2"/>
  <c r="Q472" i="2"/>
  <c r="W472" i="2" s="1"/>
  <c r="R466" i="2"/>
  <c r="R464" i="2"/>
  <c r="R458" i="2"/>
  <c r="Q456" i="2"/>
  <c r="W456" i="2" s="1"/>
  <c r="R450" i="2"/>
  <c r="Q448" i="2"/>
  <c r="W448" i="2" s="1"/>
  <c r="R442" i="2"/>
  <c r="Q440" i="2"/>
  <c r="W440" i="2" s="1"/>
  <c r="R434" i="2"/>
  <c r="Q432" i="2"/>
  <c r="W432" i="2" s="1"/>
  <c r="R426" i="2"/>
  <c r="Q424" i="2"/>
  <c r="W424" i="2" s="1"/>
  <c r="R418" i="2"/>
  <c r="Q416" i="2"/>
  <c r="W416" i="2" s="1"/>
  <c r="R410" i="2"/>
  <c r="Q408" i="2"/>
  <c r="W408" i="2" s="1"/>
  <c r="R402" i="2"/>
  <c r="Q400" i="2"/>
  <c r="W400" i="2" s="1"/>
  <c r="Q395" i="2"/>
  <c r="W395" i="2" s="1"/>
  <c r="R378" i="2"/>
  <c r="Q373" i="2"/>
  <c r="V373" i="2" s="1"/>
  <c r="R370" i="2"/>
  <c r="R351" i="2"/>
  <c r="Q350" i="2"/>
  <c r="Q347" i="2"/>
  <c r="V347" i="2" s="1"/>
  <c r="Q344" i="2"/>
  <c r="V344" i="2" s="1"/>
  <c r="R343" i="2"/>
  <c r="Q342" i="2"/>
  <c r="Q336" i="2"/>
  <c r="W336" i="2" s="1"/>
  <c r="Q334" i="2"/>
  <c r="V334" i="2" s="1"/>
  <c r="Q332" i="2"/>
  <c r="U330" i="2"/>
  <c r="R330" i="2"/>
  <c r="Q328" i="2"/>
  <c r="V328" i="2" s="1"/>
  <c r="R327" i="2"/>
  <c r="V327" i="2"/>
  <c r="Q323" i="2"/>
  <c r="W323" i="2" s="1"/>
  <c r="Q322" i="2"/>
  <c r="W322" i="2" s="1"/>
  <c r="T320" i="2"/>
  <c r="S317" i="2"/>
  <c r="T311" i="2"/>
  <c r="U311" i="2"/>
  <c r="T309" i="2"/>
  <c r="S309" i="2"/>
  <c r="Q303" i="2"/>
  <c r="V303" i="2" s="1"/>
  <c r="V302" i="2"/>
  <c r="R298" i="2"/>
  <c r="S294" i="2"/>
  <c r="U294" i="2"/>
  <c r="Q287" i="2"/>
  <c r="S286" i="2"/>
  <c r="T286" i="2"/>
  <c r="Q274" i="2"/>
  <c r="V274" i="2" s="1"/>
  <c r="T267" i="2"/>
  <c r="S267" i="2"/>
  <c r="V262" i="2"/>
  <c r="Q258" i="2"/>
  <c r="W258" i="2" s="1"/>
  <c r="R255" i="2"/>
  <c r="Q230" i="2"/>
  <c r="W230" i="2" s="1"/>
  <c r="Q225" i="2"/>
  <c r="W225" i="2" s="1"/>
  <c r="U224" i="2"/>
  <c r="T224" i="2"/>
  <c r="S224" i="2"/>
  <c r="U216" i="2"/>
  <c r="S216" i="2"/>
  <c r="T213" i="2"/>
  <c r="S213" i="2"/>
  <c r="U213" i="2"/>
  <c r="Q210" i="2"/>
  <c r="W210" i="2" s="1"/>
  <c r="Q198" i="2"/>
  <c r="W198" i="2" s="1"/>
  <c r="Q169" i="2"/>
  <c r="W169" i="2" s="1"/>
  <c r="Q167" i="2"/>
  <c r="W167" i="2" s="1"/>
  <c r="Q162" i="2"/>
  <c r="Q143" i="2"/>
  <c r="W143" i="2" s="1"/>
  <c r="Q127" i="2"/>
  <c r="W127" i="2" s="1"/>
  <c r="Q103" i="2"/>
  <c r="V103" i="2" s="1"/>
  <c r="R92" i="2"/>
  <c r="Q62" i="2"/>
  <c r="W62" i="2" s="1"/>
  <c r="R32" i="2"/>
  <c r="Q10" i="2"/>
  <c r="W10" i="2" s="1"/>
  <c r="R275" i="2"/>
  <c r="T265" i="2"/>
  <c r="U265" i="2"/>
  <c r="R244" i="2"/>
  <c r="Q238" i="2"/>
  <c r="W238" i="2" s="1"/>
  <c r="U237" i="2"/>
  <c r="S237" i="2"/>
  <c r="T236" i="2"/>
  <c r="S236" i="2"/>
  <c r="T233" i="2"/>
  <c r="U233" i="2"/>
  <c r="S226" i="2"/>
  <c r="T226" i="2"/>
  <c r="Q217" i="2"/>
  <c r="W217" i="2" s="1"/>
  <c r="R212" i="2"/>
  <c r="R211" i="2"/>
  <c r="R206" i="2"/>
  <c r="T193" i="2"/>
  <c r="U193" i="2"/>
  <c r="T192" i="2"/>
  <c r="S192" i="2"/>
  <c r="Q190" i="2"/>
  <c r="R188" i="2"/>
  <c r="S178" i="2"/>
  <c r="U178" i="2"/>
  <c r="U165" i="2"/>
  <c r="S165" i="2"/>
  <c r="T164" i="2"/>
  <c r="S164" i="2"/>
  <c r="Q154" i="2"/>
  <c r="W154" i="2" s="1"/>
  <c r="T139" i="2"/>
  <c r="U139" i="2"/>
  <c r="S139" i="2"/>
  <c r="C14" i="10"/>
  <c r="W113" i="2"/>
  <c r="Q113" i="2"/>
  <c r="Q106" i="2"/>
  <c r="V106" i="2" s="1"/>
  <c r="V82" i="2"/>
  <c r="U80" i="2"/>
  <c r="S80" i="2"/>
  <c r="T60" i="2"/>
  <c r="U60" i="2"/>
  <c r="R49" i="2"/>
  <c r="R44" i="2"/>
  <c r="T18" i="2"/>
  <c r="U18" i="2"/>
  <c r="Q301" i="2"/>
  <c r="W301" i="2" s="1"/>
  <c r="R287" i="2"/>
  <c r="S276" i="2"/>
  <c r="R260" i="2"/>
  <c r="Q255" i="2"/>
  <c r="V255" i="2" s="1"/>
  <c r="R254" i="2"/>
  <c r="Q246" i="2"/>
  <c r="V246" i="2" s="1"/>
  <c r="U236" i="2"/>
  <c r="S225" i="2"/>
  <c r="S218" i="2"/>
  <c r="U218" i="2"/>
  <c r="R207" i="2"/>
  <c r="Q199" i="2"/>
  <c r="R198" i="2"/>
  <c r="U192" i="2"/>
  <c r="Q174" i="2"/>
  <c r="V174" i="2" s="1"/>
  <c r="T168" i="2"/>
  <c r="R166" i="2"/>
  <c r="U164" i="2"/>
  <c r="V154" i="2"/>
  <c r="Q145" i="2"/>
  <c r="W145" i="2" s="1"/>
  <c r="T141" i="2"/>
  <c r="T132" i="2"/>
  <c r="Q129" i="2"/>
  <c r="W129" i="2" s="1"/>
  <c r="T128" i="2"/>
  <c r="S128" i="2"/>
  <c r="T124" i="2"/>
  <c r="S124" i="2"/>
  <c r="Q114" i="2"/>
  <c r="W114" i="2" s="1"/>
  <c r="S110" i="2"/>
  <c r="T110" i="2"/>
  <c r="U110" i="2"/>
  <c r="S86" i="2"/>
  <c r="T86" i="2"/>
  <c r="S70" i="2"/>
  <c r="U70" i="2"/>
  <c r="Q63" i="2"/>
  <c r="V63" i="2" s="1"/>
  <c r="Q59" i="2"/>
  <c r="U42" i="2"/>
  <c r="S42" i="2"/>
  <c r="T42" i="2"/>
  <c r="Q23" i="2"/>
  <c r="V23" i="2" s="1"/>
  <c r="R20" i="2"/>
  <c r="R8" i="2"/>
  <c r="R338" i="2"/>
  <c r="R314" i="2"/>
  <c r="R304" i="2"/>
  <c r="Q298" i="2"/>
  <c r="V298" i="2" s="1"/>
  <c r="Q296" i="2"/>
  <c r="R292" i="2"/>
  <c r="R276" i="2"/>
  <c r="R259" i="2"/>
  <c r="R236" i="2"/>
  <c r="R230" i="2"/>
  <c r="T203" i="2"/>
  <c r="U203" i="2"/>
  <c r="Q202" i="2"/>
  <c r="Q189" i="2"/>
  <c r="V189" i="2" s="1"/>
  <c r="T187" i="2"/>
  <c r="U187" i="2"/>
  <c r="T185" i="2"/>
  <c r="U185" i="2"/>
  <c r="Q146" i="2"/>
  <c r="R134" i="2"/>
  <c r="V122" i="2"/>
  <c r="Q108" i="2"/>
  <c r="V108" i="2" s="1"/>
  <c r="R108" i="2"/>
  <c r="T107" i="2"/>
  <c r="S107" i="2"/>
  <c r="Q101" i="2"/>
  <c r="W101" i="2" s="1"/>
  <c r="U88" i="2"/>
  <c r="S88" i="2"/>
  <c r="R84" i="2"/>
  <c r="S78" i="2"/>
  <c r="T78" i="2"/>
  <c r="U72" i="2"/>
  <c r="S72" i="2"/>
  <c r="S69" i="2"/>
  <c r="T69" i="2"/>
  <c r="R59" i="2"/>
  <c r="S59" i="2"/>
  <c r="U59" i="2"/>
  <c r="U45" i="2"/>
  <c r="S45" i="2"/>
  <c r="T45" i="2"/>
  <c r="Q39" i="2"/>
  <c r="W39" i="2" s="1"/>
  <c r="U38" i="2"/>
  <c r="T38" i="2"/>
  <c r="S38" i="2"/>
  <c r="S25" i="2"/>
  <c r="T25" i="2"/>
  <c r="Q7" i="2"/>
  <c r="W7" i="2" s="1"/>
  <c r="S102" i="2"/>
  <c r="T102" i="2"/>
  <c r="R52" i="2"/>
  <c r="R48" i="2"/>
  <c r="Q35" i="2"/>
  <c r="W35" i="2" s="1"/>
  <c r="S31" i="2"/>
  <c r="U31" i="2"/>
  <c r="Q24" i="2"/>
  <c r="W24" i="2" s="1"/>
  <c r="Q6" i="2"/>
  <c r="Q239" i="2"/>
  <c r="W239" i="2" s="1"/>
  <c r="R228" i="2"/>
  <c r="Q206" i="2"/>
  <c r="W206" i="2" s="1"/>
  <c r="R204" i="2"/>
  <c r="R195" i="2"/>
  <c r="R187" i="2"/>
  <c r="R172" i="2"/>
  <c r="R162" i="2"/>
  <c r="R154" i="2"/>
  <c r="R138" i="2"/>
  <c r="Q130" i="2"/>
  <c r="S100" i="2"/>
  <c r="U91" i="2"/>
  <c r="S90" i="2"/>
  <c r="U90" i="2"/>
  <c r="U83" i="2"/>
  <c r="S82" i="2"/>
  <c r="U82" i="2"/>
  <c r="U75" i="2"/>
  <c r="S74" i="2"/>
  <c r="U74" i="2"/>
  <c r="T67" i="2"/>
  <c r="U67" i="2"/>
  <c r="Q66" i="2"/>
  <c r="S64" i="2"/>
  <c r="U57" i="2"/>
  <c r="T39" i="2"/>
  <c r="U34" i="2"/>
  <c r="T34" i="2"/>
  <c r="U30" i="2"/>
  <c r="Q25" i="2"/>
  <c r="V25" i="2" s="1"/>
  <c r="R25" i="2"/>
  <c r="Q22" i="2"/>
  <c r="W22" i="2" s="1"/>
  <c r="S20" i="2"/>
  <c r="U20" i="2"/>
  <c r="Q18" i="2"/>
  <c r="W18" i="2" s="1"/>
  <c r="Q55" i="2"/>
  <c r="W55" i="2" s="1"/>
  <c r="S47" i="2"/>
  <c r="T47" i="2"/>
  <c r="R45" i="2"/>
  <c r="Q41" i="2"/>
  <c r="W41" i="2" s="1"/>
  <c r="R41" i="2"/>
  <c r="R29" i="2"/>
  <c r="Q28" i="2"/>
  <c r="Q27" i="2"/>
  <c r="W27" i="2" s="1"/>
  <c r="Q11" i="2"/>
  <c r="V11" i="2" s="1"/>
  <c r="Q58" i="2"/>
  <c r="W58" i="2" s="1"/>
  <c r="Q56" i="2"/>
  <c r="V56" i="2" s="1"/>
  <c r="Q44" i="2"/>
  <c r="W44" i="2" s="1"/>
  <c r="Q14" i="2"/>
  <c r="W14" i="2" s="1"/>
  <c r="W350" i="2"/>
  <c r="V350" i="2"/>
  <c r="W342" i="2"/>
  <c r="V342" i="2"/>
  <c r="W475" i="2"/>
  <c r="V475" i="2"/>
  <c r="V366" i="2"/>
  <c r="W382" i="2"/>
  <c r="V382" i="2"/>
  <c r="V395" i="2"/>
  <c r="V323" i="2"/>
  <c r="V467" i="2"/>
  <c r="W451" i="2"/>
  <c r="V451" i="2"/>
  <c r="W419" i="2"/>
  <c r="V419" i="2"/>
  <c r="V403" i="2"/>
  <c r="V487" i="2"/>
  <c r="W471" i="2"/>
  <c r="W455" i="2"/>
  <c r="W439" i="2"/>
  <c r="V439" i="2"/>
  <c r="W431" i="2"/>
  <c r="V423" i="2"/>
  <c r="W407" i="2"/>
  <c r="W330" i="2"/>
  <c r="V330" i="2"/>
  <c r="R333" i="2"/>
  <c r="Q316" i="2"/>
  <c r="V316" i="2" s="1"/>
  <c r="R316" i="2"/>
  <c r="V230" i="2"/>
  <c r="S230" i="2"/>
  <c r="U230" i="2"/>
  <c r="T230" i="2"/>
  <c r="S7" i="2"/>
  <c r="T7" i="2"/>
  <c r="U7" i="2"/>
  <c r="R496" i="2"/>
  <c r="T494" i="2"/>
  <c r="R492" i="2"/>
  <c r="R484" i="2"/>
  <c r="T482" i="2"/>
  <c r="V472" i="2"/>
  <c r="R472" i="2"/>
  <c r="T470" i="2"/>
  <c r="T458" i="2"/>
  <c r="R452" i="2"/>
  <c r="T450" i="2"/>
  <c r="R444" i="2"/>
  <c r="T442" i="2"/>
  <c r="V436" i="2"/>
  <c r="R436" i="2"/>
  <c r="T434" i="2"/>
  <c r="R428" i="2"/>
  <c r="T426" i="2"/>
  <c r="V420" i="2"/>
  <c r="R420" i="2"/>
  <c r="T418" i="2"/>
  <c r="R416" i="2"/>
  <c r="T414" i="2"/>
  <c r="V408" i="2"/>
  <c r="R408" i="2"/>
  <c r="T406" i="2"/>
  <c r="R400" i="2"/>
  <c r="T398" i="2"/>
  <c r="U391" i="2"/>
  <c r="R387" i="2"/>
  <c r="U385" i="2"/>
  <c r="W384" i="2"/>
  <c r="R379" i="2"/>
  <c r="U377" i="2"/>
  <c r="R371" i="2"/>
  <c r="U369" i="2"/>
  <c r="U367" i="2"/>
  <c r="W363" i="2"/>
  <c r="R363" i="2"/>
  <c r="U361" i="2"/>
  <c r="U359" i="2"/>
  <c r="R355" i="2"/>
  <c r="U353" i="2"/>
  <c r="U351" i="2"/>
  <c r="R347" i="2"/>
  <c r="U345" i="2"/>
  <c r="U343" i="2"/>
  <c r="R339" i="2"/>
  <c r="U337" i="2"/>
  <c r="U335" i="2"/>
  <c r="R331" i="2"/>
  <c r="U329" i="2"/>
  <c r="U327" i="2"/>
  <c r="T323" i="2"/>
  <c r="S323" i="2"/>
  <c r="S322" i="2"/>
  <c r="U322" i="2"/>
  <c r="V306" i="2"/>
  <c r="R302" i="2"/>
  <c r="S302" i="2"/>
  <c r="T302" i="2"/>
  <c r="U302" i="2"/>
  <c r="R299" i="2"/>
  <c r="V279" i="2"/>
  <c r="W279" i="2"/>
  <c r="R279" i="2"/>
  <c r="T279" i="2"/>
  <c r="S279" i="2"/>
  <c r="U279" i="2"/>
  <c r="Q270" i="2"/>
  <c r="R270" i="2"/>
  <c r="Q267" i="2"/>
  <c r="W267" i="2" s="1"/>
  <c r="R267" i="2"/>
  <c r="R389" i="2"/>
  <c r="V383" i="2"/>
  <c r="R381" i="2"/>
  <c r="R357" i="2"/>
  <c r="V351" i="2"/>
  <c r="R349" i="2"/>
  <c r="R341" i="2"/>
  <c r="V335" i="2"/>
  <c r="S198" i="2"/>
  <c r="U198" i="2"/>
  <c r="T198" i="2"/>
  <c r="R149" i="2"/>
  <c r="Q149" i="2"/>
  <c r="W149" i="2" s="1"/>
  <c r="Q115" i="2"/>
  <c r="W115" i="2" s="1"/>
  <c r="R115" i="2"/>
  <c r="T498" i="2"/>
  <c r="R488" i="2"/>
  <c r="T486" i="2"/>
  <c r="R476" i="2"/>
  <c r="T474" i="2"/>
  <c r="R468" i="2"/>
  <c r="T466" i="2"/>
  <c r="V456" i="2"/>
  <c r="R456" i="2"/>
  <c r="T454" i="2"/>
  <c r="R448" i="2"/>
  <c r="T446" i="2"/>
  <c r="V440" i="2"/>
  <c r="R440" i="2"/>
  <c r="T438" i="2"/>
  <c r="R432" i="2"/>
  <c r="T430" i="2"/>
  <c r="V424" i="2"/>
  <c r="R424" i="2"/>
  <c r="T422" i="2"/>
  <c r="V412" i="2"/>
  <c r="R412" i="2"/>
  <c r="T410" i="2"/>
  <c r="R404" i="2"/>
  <c r="T402" i="2"/>
  <c r="V396" i="2"/>
  <c r="R396" i="2"/>
  <c r="U393" i="2"/>
  <c r="W392" i="2"/>
  <c r="U383" i="2"/>
  <c r="U375" i="2"/>
  <c r="C13" i="10"/>
  <c r="Q500" i="2"/>
  <c r="W500" i="2" s="1"/>
  <c r="T499" i="2"/>
  <c r="R497" i="2"/>
  <c r="T495" i="2"/>
  <c r="V493" i="2"/>
  <c r="R493" i="2"/>
  <c r="Q492" i="2"/>
  <c r="W492" i="2" s="1"/>
  <c r="T491" i="2"/>
  <c r="S490" i="2"/>
  <c r="R489" i="2"/>
  <c r="Q488" i="2"/>
  <c r="W488" i="2" s="1"/>
  <c r="T487" i="2"/>
  <c r="R485" i="2"/>
  <c r="T483" i="2"/>
  <c r="V481" i="2"/>
  <c r="R481" i="2"/>
  <c r="Q480" i="2"/>
  <c r="W480" i="2" s="1"/>
  <c r="T479" i="2"/>
  <c r="S478" i="2"/>
  <c r="V477" i="2"/>
  <c r="R477" i="2"/>
  <c r="Q476" i="2"/>
  <c r="W476" i="2" s="1"/>
  <c r="T475" i="2"/>
  <c r="R473" i="2"/>
  <c r="T471" i="2"/>
  <c r="R469" i="2"/>
  <c r="T467" i="2"/>
  <c r="V465" i="2"/>
  <c r="R465" i="2"/>
  <c r="Q464" i="2"/>
  <c r="W464" i="2" s="1"/>
  <c r="T463" i="2"/>
  <c r="S462" i="2"/>
  <c r="V461" i="2"/>
  <c r="R461" i="2"/>
  <c r="Q460" i="2"/>
  <c r="W460" i="2" s="1"/>
  <c r="T459" i="2"/>
  <c r="W458" i="2"/>
  <c r="R457" i="2"/>
  <c r="T455" i="2"/>
  <c r="R453" i="2"/>
  <c r="T451" i="2"/>
  <c r="R449" i="2"/>
  <c r="T447" i="2"/>
  <c r="W446" i="2"/>
  <c r="V445" i="2"/>
  <c r="R445" i="2"/>
  <c r="T443" i="2"/>
  <c r="R441" i="2"/>
  <c r="T439" i="2"/>
  <c r="R437" i="2"/>
  <c r="T435" i="2"/>
  <c r="W434" i="2"/>
  <c r="R433" i="2"/>
  <c r="T431" i="2"/>
  <c r="W430" i="2"/>
  <c r="V429" i="2"/>
  <c r="R429" i="2"/>
  <c r="T427" i="2"/>
  <c r="W426" i="2"/>
  <c r="R425" i="2"/>
  <c r="T423" i="2"/>
  <c r="W422" i="2"/>
  <c r="R421" i="2"/>
  <c r="T419" i="2"/>
  <c r="W418" i="2"/>
  <c r="R417" i="2"/>
  <c r="T415" i="2"/>
  <c r="V413" i="2"/>
  <c r="R413" i="2"/>
  <c r="T411" i="2"/>
  <c r="W410" i="2"/>
  <c r="R409" i="2"/>
  <c r="T407" i="2"/>
  <c r="W406" i="2"/>
  <c r="R405" i="2"/>
  <c r="T403" i="2"/>
  <c r="V401" i="2"/>
  <c r="R401" i="2"/>
  <c r="T399" i="2"/>
  <c r="S398" i="2"/>
  <c r="V397" i="2"/>
  <c r="R397" i="2"/>
  <c r="T395" i="2"/>
  <c r="T393" i="2"/>
  <c r="R393" i="2"/>
  <c r="V393" i="2"/>
  <c r="V392" i="2"/>
  <c r="R392" i="2"/>
  <c r="S391" i="2"/>
  <c r="U390" i="2"/>
  <c r="Q389" i="2"/>
  <c r="V389" i="2" s="1"/>
  <c r="Q388" i="2"/>
  <c r="T385" i="2"/>
  <c r="R385" i="2"/>
  <c r="V385" i="2"/>
  <c r="V384" i="2"/>
  <c r="R384" i="2"/>
  <c r="S383" i="2"/>
  <c r="U382" i="2"/>
  <c r="Q381" i="2"/>
  <c r="W381" i="2" s="1"/>
  <c r="Q380" i="2"/>
  <c r="T377" i="2"/>
  <c r="R377" i="2"/>
  <c r="V377" i="2"/>
  <c r="R376" i="2"/>
  <c r="S375" i="2"/>
  <c r="U374" i="2"/>
  <c r="Q372" i="2"/>
  <c r="V371" i="2"/>
  <c r="T369" i="2"/>
  <c r="R369" i="2"/>
  <c r="V369" i="2"/>
  <c r="V368" i="2"/>
  <c r="R368" i="2"/>
  <c r="S367" i="2"/>
  <c r="U366" i="2"/>
  <c r="W365" i="2"/>
  <c r="Q364" i="2"/>
  <c r="T361" i="2"/>
  <c r="R361" i="2"/>
  <c r="R360" i="2"/>
  <c r="S359" i="2"/>
  <c r="U358" i="2"/>
  <c r="Q357" i="2"/>
  <c r="V357" i="2" s="1"/>
  <c r="Q356" i="2"/>
  <c r="T353" i="2"/>
  <c r="R353" i="2"/>
  <c r="V352" i="2"/>
  <c r="R352" i="2"/>
  <c r="S351" i="2"/>
  <c r="U350" i="2"/>
  <c r="W349" i="2"/>
  <c r="Q349" i="2"/>
  <c r="V349" i="2" s="1"/>
  <c r="Q348" i="2"/>
  <c r="T345" i="2"/>
  <c r="R345" i="2"/>
  <c r="R344" i="2"/>
  <c r="S343" i="2"/>
  <c r="U342" i="2"/>
  <c r="Q341" i="2"/>
  <c r="V341" i="2" s="1"/>
  <c r="Q340" i="2"/>
  <c r="T337" i="2"/>
  <c r="R337" i="2"/>
  <c r="R336" i="2"/>
  <c r="S335" i="2"/>
  <c r="U334" i="2"/>
  <c r="Q333" i="2"/>
  <c r="V333" i="2" s="1"/>
  <c r="T329" i="2"/>
  <c r="R329" i="2"/>
  <c r="R328" i="2"/>
  <c r="S327" i="2"/>
  <c r="U326" i="2"/>
  <c r="U325" i="2"/>
  <c r="Q324" i="2"/>
  <c r="W324" i="2" s="1"/>
  <c r="R324" i="2"/>
  <c r="R321" i="2"/>
  <c r="V321" i="2"/>
  <c r="Q321" i="2"/>
  <c r="W321" i="2" s="1"/>
  <c r="R318" i="2"/>
  <c r="Q294" i="2"/>
  <c r="R294" i="2"/>
  <c r="Q288" i="2"/>
  <c r="V288" i="2" s="1"/>
  <c r="R288" i="2"/>
  <c r="R373" i="2"/>
  <c r="R365" i="2"/>
  <c r="V365" i="2"/>
  <c r="R326" i="2"/>
  <c r="Q319" i="2"/>
  <c r="V319" i="2" s="1"/>
  <c r="R313" i="2"/>
  <c r="Q313" i="2"/>
  <c r="W313" i="2" s="1"/>
  <c r="S310" i="2"/>
  <c r="T310" i="2"/>
  <c r="U310" i="2"/>
  <c r="Q131" i="2"/>
  <c r="W131" i="2" s="1"/>
  <c r="R131" i="2"/>
  <c r="Q128" i="2"/>
  <c r="V128" i="2" s="1"/>
  <c r="R128" i="2"/>
  <c r="Q118" i="2"/>
  <c r="Q112" i="2"/>
  <c r="V112" i="2" s="1"/>
  <c r="R112" i="2"/>
  <c r="T390" i="2"/>
  <c r="T382" i="2"/>
  <c r="T374" i="2"/>
  <c r="T366" i="2"/>
  <c r="T358" i="2"/>
  <c r="T350" i="2"/>
  <c r="T342" i="2"/>
  <c r="T334" i="2"/>
  <c r="U331" i="2"/>
  <c r="W327" i="2"/>
  <c r="T326" i="2"/>
  <c r="S325" i="2"/>
  <c r="U323" i="2"/>
  <c r="T322" i="2"/>
  <c r="T315" i="2"/>
  <c r="S315" i="2"/>
  <c r="Q307" i="2"/>
  <c r="Q295" i="2"/>
  <c r="V295" i="2" s="1"/>
  <c r="R295" i="2"/>
  <c r="R290" i="2"/>
  <c r="S290" i="2"/>
  <c r="T290" i="2"/>
  <c r="U290" i="2"/>
  <c r="Q286" i="2"/>
  <c r="R286" i="2"/>
  <c r="W274" i="2"/>
  <c r="R274" i="2"/>
  <c r="S274" i="2"/>
  <c r="U274" i="2"/>
  <c r="T274" i="2"/>
  <c r="R305" i="2"/>
  <c r="R297" i="2"/>
  <c r="R285" i="2"/>
  <c r="Q285" i="2"/>
  <c r="W285" i="2" s="1"/>
  <c r="Q283" i="2"/>
  <c r="V283" i="2" s="1"/>
  <c r="R283" i="2"/>
  <c r="T281" i="2"/>
  <c r="U281" i="2"/>
  <c r="R262" i="2"/>
  <c r="S262" i="2"/>
  <c r="U262" i="2"/>
  <c r="T262" i="2"/>
  <c r="R247" i="2"/>
  <c r="T247" i="2"/>
  <c r="S247" i="2"/>
  <c r="U247" i="2"/>
  <c r="V238" i="2"/>
  <c r="R215" i="2"/>
  <c r="T215" i="2"/>
  <c r="S215" i="2"/>
  <c r="U215" i="2"/>
  <c r="V206" i="2"/>
  <c r="R311" i="2"/>
  <c r="U309" i="2"/>
  <c r="U307" i="2"/>
  <c r="W303" i="2"/>
  <c r="R303" i="2"/>
  <c r="U301" i="2"/>
  <c r="W300" i="2"/>
  <c r="U299" i="2"/>
  <c r="T295" i="2"/>
  <c r="U295" i="2"/>
  <c r="T287" i="2"/>
  <c r="S287" i="2"/>
  <c r="U287" i="2"/>
  <c r="R282" i="2"/>
  <c r="S282" i="2"/>
  <c r="T282" i="2"/>
  <c r="Q280" i="2"/>
  <c r="V280" i="2" s="1"/>
  <c r="R280" i="2"/>
  <c r="Q278" i="2"/>
  <c r="T273" i="2"/>
  <c r="U273" i="2"/>
  <c r="Q271" i="2"/>
  <c r="Q264" i="2"/>
  <c r="W264" i="2" s="1"/>
  <c r="R264" i="2"/>
  <c r="R261" i="2"/>
  <c r="Q261" i="2"/>
  <c r="W261" i="2" s="1"/>
  <c r="W246" i="2"/>
  <c r="R246" i="2"/>
  <c r="S246" i="2"/>
  <c r="U246" i="2"/>
  <c r="T246" i="2"/>
  <c r="R214" i="2"/>
  <c r="S214" i="2"/>
  <c r="U214" i="2"/>
  <c r="T214" i="2"/>
  <c r="W194" i="2"/>
  <c r="V194" i="2"/>
  <c r="R194" i="2"/>
  <c r="S194" i="2"/>
  <c r="U194" i="2"/>
  <c r="T194" i="2"/>
  <c r="V186" i="2"/>
  <c r="R186" i="2"/>
  <c r="S186" i="2"/>
  <c r="U186" i="2"/>
  <c r="T186" i="2"/>
  <c r="R325" i="2"/>
  <c r="Q320" i="2"/>
  <c r="R317" i="2"/>
  <c r="V317" i="2"/>
  <c r="U314" i="2"/>
  <c r="Q312" i="2"/>
  <c r="R309" i="2"/>
  <c r="R308" i="2"/>
  <c r="S307" i="2"/>
  <c r="U306" i="2"/>
  <c r="Q305" i="2"/>
  <c r="V305" i="2" s="1"/>
  <c r="Q304" i="2"/>
  <c r="R301" i="2"/>
  <c r="V300" i="2"/>
  <c r="R300" i="2"/>
  <c r="S299" i="2"/>
  <c r="U298" i="2"/>
  <c r="Q297" i="2"/>
  <c r="W297" i="2" s="1"/>
  <c r="U293" i="2"/>
  <c r="R293" i="2"/>
  <c r="V293" i="2"/>
  <c r="Q291" i="2"/>
  <c r="V291" i="2" s="1"/>
  <c r="R291" i="2"/>
  <c r="T289" i="2"/>
  <c r="U289" i="2"/>
  <c r="R278" i="2"/>
  <c r="R277" i="2"/>
  <c r="Q277" i="2"/>
  <c r="W277" i="2" s="1"/>
  <c r="R271" i="2"/>
  <c r="R263" i="2"/>
  <c r="T263" i="2"/>
  <c r="S263" i="2"/>
  <c r="U263" i="2"/>
  <c r="V258" i="2"/>
  <c r="R258" i="2"/>
  <c r="V254" i="2"/>
  <c r="V239" i="2"/>
  <c r="R231" i="2"/>
  <c r="T231" i="2"/>
  <c r="S231" i="2"/>
  <c r="U231" i="2"/>
  <c r="V207" i="2"/>
  <c r="W207" i="2"/>
  <c r="R199" i="2"/>
  <c r="T199" i="2"/>
  <c r="S199" i="2"/>
  <c r="U199" i="2"/>
  <c r="Q251" i="2"/>
  <c r="W251" i="2" s="1"/>
  <c r="Q248" i="2"/>
  <c r="W248" i="2" s="1"/>
  <c r="R248" i="2"/>
  <c r="R245" i="2"/>
  <c r="Q245" i="2"/>
  <c r="W245" i="2" s="1"/>
  <c r="R242" i="2"/>
  <c r="Q235" i="2"/>
  <c r="W235" i="2" s="1"/>
  <c r="Q232" i="2"/>
  <c r="W232" i="2" s="1"/>
  <c r="R232" i="2"/>
  <c r="R229" i="2"/>
  <c r="Q229" i="2"/>
  <c r="W229" i="2" s="1"/>
  <c r="R226" i="2"/>
  <c r="Q219" i="2"/>
  <c r="W219" i="2" s="1"/>
  <c r="Q216" i="2"/>
  <c r="W216" i="2" s="1"/>
  <c r="R216" i="2"/>
  <c r="R213" i="2"/>
  <c r="Q213" i="2"/>
  <c r="W213" i="2" s="1"/>
  <c r="R210" i="2"/>
  <c r="Q203" i="2"/>
  <c r="W203" i="2" s="1"/>
  <c r="Q200" i="2"/>
  <c r="W200" i="2" s="1"/>
  <c r="R200" i="2"/>
  <c r="R197" i="2"/>
  <c r="Q197" i="2"/>
  <c r="W197" i="2" s="1"/>
  <c r="V178" i="2"/>
  <c r="R178" i="2"/>
  <c r="Q171" i="2"/>
  <c r="S153" i="2"/>
  <c r="T153" i="2"/>
  <c r="U153" i="2"/>
  <c r="T271" i="2"/>
  <c r="S271" i="2"/>
  <c r="S270" i="2"/>
  <c r="U270" i="2"/>
  <c r="T266" i="2"/>
  <c r="S265" i="2"/>
  <c r="T255" i="2"/>
  <c r="S255" i="2"/>
  <c r="S254" i="2"/>
  <c r="U254" i="2"/>
  <c r="T250" i="2"/>
  <c r="S249" i="2"/>
  <c r="V242" i="2"/>
  <c r="T239" i="2"/>
  <c r="S239" i="2"/>
  <c r="S238" i="2"/>
  <c r="U238" i="2"/>
  <c r="T234" i="2"/>
  <c r="S233" i="2"/>
  <c r="V226" i="2"/>
  <c r="T223" i="2"/>
  <c r="S223" i="2"/>
  <c r="S222" i="2"/>
  <c r="U222" i="2"/>
  <c r="T218" i="2"/>
  <c r="S217" i="2"/>
  <c r="T207" i="2"/>
  <c r="S207" i="2"/>
  <c r="S206" i="2"/>
  <c r="U206" i="2"/>
  <c r="T202" i="2"/>
  <c r="S201" i="2"/>
  <c r="R192" i="2"/>
  <c r="Q191" i="2"/>
  <c r="R190" i="2"/>
  <c r="S190" i="2"/>
  <c r="U190" i="2"/>
  <c r="R184" i="2"/>
  <c r="Q183" i="2"/>
  <c r="R182" i="2"/>
  <c r="S182" i="2"/>
  <c r="U182" i="2"/>
  <c r="Q179" i="2"/>
  <c r="Q177" i="2"/>
  <c r="V177" i="2" s="1"/>
  <c r="R177" i="2"/>
  <c r="W175" i="2"/>
  <c r="V175" i="2"/>
  <c r="R175" i="2"/>
  <c r="S175" i="2"/>
  <c r="T175" i="2"/>
  <c r="U175" i="2"/>
  <c r="R171" i="2"/>
  <c r="Q155" i="2"/>
  <c r="V155" i="2" s="1"/>
  <c r="R155" i="2"/>
  <c r="R143" i="2"/>
  <c r="T143" i="2"/>
  <c r="S143" i="2"/>
  <c r="U143" i="2"/>
  <c r="Q107" i="2"/>
  <c r="V107" i="2" s="1"/>
  <c r="R107" i="2"/>
  <c r="Q292" i="2"/>
  <c r="R289" i="2"/>
  <c r="V289" i="2"/>
  <c r="Q284" i="2"/>
  <c r="R281" i="2"/>
  <c r="V281" i="2"/>
  <c r="Q275" i="2"/>
  <c r="W275" i="2" s="1"/>
  <c r="Q272" i="2"/>
  <c r="V272" i="2" s="1"/>
  <c r="R272" i="2"/>
  <c r="R269" i="2"/>
  <c r="Q269" i="2"/>
  <c r="W269" i="2" s="1"/>
  <c r="R266" i="2"/>
  <c r="Q259" i="2"/>
  <c r="V259" i="2" s="1"/>
  <c r="U258" i="2"/>
  <c r="U257" i="2"/>
  <c r="Q256" i="2"/>
  <c r="W256" i="2" s="1"/>
  <c r="R256" i="2"/>
  <c r="R253" i="2"/>
  <c r="Q253" i="2"/>
  <c r="W253" i="2" s="1"/>
  <c r="R251" i="2"/>
  <c r="R250" i="2"/>
  <c r="Q243" i="2"/>
  <c r="V243" i="2" s="1"/>
  <c r="U242" i="2"/>
  <c r="U241" i="2"/>
  <c r="Q240" i="2"/>
  <c r="W240" i="2" s="1"/>
  <c r="R240" i="2"/>
  <c r="R237" i="2"/>
  <c r="Q237" i="2"/>
  <c r="V237" i="2" s="1"/>
  <c r="R235" i="2"/>
  <c r="R234" i="2"/>
  <c r="Q227" i="2"/>
  <c r="W227" i="2" s="1"/>
  <c r="U226" i="2"/>
  <c r="U225" i="2"/>
  <c r="Q224" i="2"/>
  <c r="W224" i="2" s="1"/>
  <c r="R224" i="2"/>
  <c r="R221" i="2"/>
  <c r="Q221" i="2"/>
  <c r="V221" i="2" s="1"/>
  <c r="R219" i="2"/>
  <c r="R218" i="2"/>
  <c r="Q211" i="2"/>
  <c r="W211" i="2" s="1"/>
  <c r="U210" i="2"/>
  <c r="U209" i="2"/>
  <c r="Q208" i="2"/>
  <c r="V208" i="2" s="1"/>
  <c r="R208" i="2"/>
  <c r="R205" i="2"/>
  <c r="Q205" i="2"/>
  <c r="W205" i="2" s="1"/>
  <c r="R203" i="2"/>
  <c r="R202" i="2"/>
  <c r="Q195" i="2"/>
  <c r="W195" i="2" s="1"/>
  <c r="R191" i="2"/>
  <c r="Q187" i="2"/>
  <c r="W187" i="2" s="1"/>
  <c r="R183" i="2"/>
  <c r="R179" i="2"/>
  <c r="S169" i="2"/>
  <c r="T169" i="2"/>
  <c r="U169" i="2"/>
  <c r="Q144" i="2"/>
  <c r="V144" i="2" s="1"/>
  <c r="R144" i="2"/>
  <c r="R127" i="2"/>
  <c r="T127" i="2"/>
  <c r="S127" i="2"/>
  <c r="U127" i="2"/>
  <c r="T111" i="2"/>
  <c r="S111" i="2"/>
  <c r="U111" i="2"/>
  <c r="Q276" i="2"/>
  <c r="R273" i="2"/>
  <c r="V273" i="2"/>
  <c r="Q268" i="2"/>
  <c r="R265" i="2"/>
  <c r="Q260" i="2"/>
  <c r="R257" i="2"/>
  <c r="V257" i="2"/>
  <c r="Q252" i="2"/>
  <c r="R249" i="2"/>
  <c r="V249" i="2"/>
  <c r="Q244" i="2"/>
  <c r="R241" i="2"/>
  <c r="Q236" i="2"/>
  <c r="R233" i="2"/>
  <c r="Q228" i="2"/>
  <c r="R225" i="2"/>
  <c r="V225" i="2"/>
  <c r="Q220" i="2"/>
  <c r="R217" i="2"/>
  <c r="V217" i="2"/>
  <c r="Q212" i="2"/>
  <c r="R209" i="2"/>
  <c r="V209" i="2"/>
  <c r="Q204" i="2"/>
  <c r="R201" i="2"/>
  <c r="Q196" i="2"/>
  <c r="R193" i="2"/>
  <c r="S191" i="2"/>
  <c r="W189" i="2"/>
  <c r="Q188" i="2"/>
  <c r="R185" i="2"/>
  <c r="V185" i="2"/>
  <c r="S183" i="2"/>
  <c r="Q180" i="2"/>
  <c r="T178" i="2"/>
  <c r="U174" i="2"/>
  <c r="Q173" i="2"/>
  <c r="W173" i="2" s="1"/>
  <c r="R173" i="2"/>
  <c r="S171" i="2"/>
  <c r="T171" i="2"/>
  <c r="R170" i="2"/>
  <c r="V167" i="2"/>
  <c r="R157" i="2"/>
  <c r="Q157" i="2"/>
  <c r="W157" i="2" s="1"/>
  <c r="Q152" i="2"/>
  <c r="V152" i="2" s="1"/>
  <c r="R152" i="2"/>
  <c r="R151" i="2"/>
  <c r="T151" i="2"/>
  <c r="S151" i="2"/>
  <c r="U151" i="2"/>
  <c r="R146" i="2"/>
  <c r="Q142" i="2"/>
  <c r="S137" i="2"/>
  <c r="T137" i="2"/>
  <c r="U137" i="2"/>
  <c r="V135" i="2"/>
  <c r="R133" i="2"/>
  <c r="Q133" i="2"/>
  <c r="W133" i="2" s="1"/>
  <c r="R130" i="2"/>
  <c r="S121" i="2"/>
  <c r="T121" i="2"/>
  <c r="U121" i="2"/>
  <c r="V119" i="2"/>
  <c r="R117" i="2"/>
  <c r="Q117" i="2"/>
  <c r="W117" i="2" s="1"/>
  <c r="R114" i="2"/>
  <c r="R103" i="2"/>
  <c r="Q102" i="2"/>
  <c r="Q98" i="2"/>
  <c r="Q94" i="2"/>
  <c r="W79" i="2"/>
  <c r="V79" i="2"/>
  <c r="R79" i="2"/>
  <c r="T79" i="2"/>
  <c r="S79" i="2"/>
  <c r="U79" i="2"/>
  <c r="R63" i="2"/>
  <c r="T63" i="2"/>
  <c r="S63" i="2"/>
  <c r="U63" i="2"/>
  <c r="Q168" i="2"/>
  <c r="V168" i="2" s="1"/>
  <c r="R168" i="2"/>
  <c r="Q163" i="2"/>
  <c r="W163" i="2" s="1"/>
  <c r="R163" i="2"/>
  <c r="S161" i="2"/>
  <c r="T161" i="2"/>
  <c r="U161" i="2"/>
  <c r="Q150" i="2"/>
  <c r="Q139" i="2"/>
  <c r="W139" i="2" s="1"/>
  <c r="R139" i="2"/>
  <c r="Q136" i="2"/>
  <c r="V136" i="2" s="1"/>
  <c r="R136" i="2"/>
  <c r="T135" i="2"/>
  <c r="S135" i="2"/>
  <c r="U135" i="2"/>
  <c r="Q126" i="2"/>
  <c r="Q123" i="2"/>
  <c r="W123" i="2" s="1"/>
  <c r="R123" i="2"/>
  <c r="Q120" i="2"/>
  <c r="V120" i="2" s="1"/>
  <c r="R120" i="2"/>
  <c r="R119" i="2"/>
  <c r="T119" i="2"/>
  <c r="S119" i="2"/>
  <c r="U119" i="2"/>
  <c r="R111" i="2"/>
  <c r="Q110" i="2"/>
  <c r="R109" i="2"/>
  <c r="Q109" i="2"/>
  <c r="V109" i="2" s="1"/>
  <c r="S105" i="2"/>
  <c r="T105" i="2"/>
  <c r="U105" i="2"/>
  <c r="R95" i="2"/>
  <c r="Q83" i="2"/>
  <c r="V83" i="2" s="1"/>
  <c r="R83" i="2"/>
  <c r="Q80" i="2"/>
  <c r="V80" i="2" s="1"/>
  <c r="R80" i="2"/>
  <c r="Q70" i="2"/>
  <c r="R70" i="2"/>
  <c r="Q67" i="2"/>
  <c r="W67" i="2" s="1"/>
  <c r="R67" i="2"/>
  <c r="Q64" i="2"/>
  <c r="V64" i="2" s="1"/>
  <c r="R64" i="2"/>
  <c r="Q192" i="2"/>
  <c r="W192" i="2" s="1"/>
  <c r="R189" i="2"/>
  <c r="Q184" i="2"/>
  <c r="W184" i="2" s="1"/>
  <c r="R181" i="2"/>
  <c r="S179" i="2"/>
  <c r="T179" i="2"/>
  <c r="R174" i="2"/>
  <c r="Q172" i="2"/>
  <c r="W172" i="2" s="1"/>
  <c r="R167" i="2"/>
  <c r="T167" i="2"/>
  <c r="S167" i="2"/>
  <c r="R165" i="2"/>
  <c r="Q165" i="2"/>
  <c r="W165" i="2" s="1"/>
  <c r="Q160" i="2"/>
  <c r="V160" i="2" s="1"/>
  <c r="R160" i="2"/>
  <c r="R159" i="2"/>
  <c r="T159" i="2"/>
  <c r="S159" i="2"/>
  <c r="U159" i="2"/>
  <c r="Q158" i="2"/>
  <c r="R150" i="2"/>
  <c r="Q147" i="2"/>
  <c r="V147" i="2" s="1"/>
  <c r="R147" i="2"/>
  <c r="S145" i="2"/>
  <c r="T145" i="2"/>
  <c r="U145" i="2"/>
  <c r="R141" i="2"/>
  <c r="Q141" i="2"/>
  <c r="W141" i="2" s="1"/>
  <c r="Q134" i="2"/>
  <c r="S129" i="2"/>
  <c r="T129" i="2"/>
  <c r="U129" i="2"/>
  <c r="R126" i="2"/>
  <c r="R125" i="2"/>
  <c r="Q125" i="2"/>
  <c r="V125" i="2" s="1"/>
  <c r="S113" i="2"/>
  <c r="T113" i="2"/>
  <c r="U113" i="2"/>
  <c r="R110" i="2"/>
  <c r="W106" i="2"/>
  <c r="Q104" i="2"/>
  <c r="V104" i="2" s="1"/>
  <c r="R104" i="2"/>
  <c r="T103" i="2"/>
  <c r="S103" i="2"/>
  <c r="U103" i="2"/>
  <c r="S101" i="2"/>
  <c r="T101" i="2"/>
  <c r="U101" i="2"/>
  <c r="S97" i="2"/>
  <c r="T97" i="2"/>
  <c r="U97" i="2"/>
  <c r="T138" i="2"/>
  <c r="T130" i="2"/>
  <c r="T122" i="2"/>
  <c r="T114" i="2"/>
  <c r="S109" i="2"/>
  <c r="T106" i="2"/>
  <c r="S98" i="2"/>
  <c r="T98" i="2"/>
  <c r="S94" i="2"/>
  <c r="T94" i="2"/>
  <c r="S89" i="2"/>
  <c r="T89" i="2"/>
  <c r="U89" i="2"/>
  <c r="V87" i="2"/>
  <c r="R85" i="2"/>
  <c r="Q85" i="2"/>
  <c r="V85" i="2" s="1"/>
  <c r="R82" i="2"/>
  <c r="Q78" i="2"/>
  <c r="S73" i="2"/>
  <c r="T73" i="2"/>
  <c r="U73" i="2"/>
  <c r="V71" i="2"/>
  <c r="R69" i="2"/>
  <c r="Q69" i="2"/>
  <c r="W69" i="2" s="1"/>
  <c r="R66" i="2"/>
  <c r="S62" i="2"/>
  <c r="T62" i="2"/>
  <c r="U62" i="2"/>
  <c r="R169" i="2"/>
  <c r="U166" i="2"/>
  <c r="Q164" i="2"/>
  <c r="R161" i="2"/>
  <c r="U158" i="2"/>
  <c r="Q156" i="2"/>
  <c r="R153" i="2"/>
  <c r="V153" i="2"/>
  <c r="U150" i="2"/>
  <c r="Q148" i="2"/>
  <c r="R145" i="2"/>
  <c r="U142" i="2"/>
  <c r="Q140" i="2"/>
  <c r="R137" i="2"/>
  <c r="V137" i="2"/>
  <c r="U134" i="2"/>
  <c r="Q132" i="2"/>
  <c r="R129" i="2"/>
  <c r="Q124" i="2"/>
  <c r="R121" i="2"/>
  <c r="V121" i="2"/>
  <c r="Q116" i="2"/>
  <c r="R113" i="2"/>
  <c r="V113" i="2"/>
  <c r="R105" i="2"/>
  <c r="R101" i="2"/>
  <c r="Q100" i="2"/>
  <c r="W100" i="2" s="1"/>
  <c r="R100" i="2"/>
  <c r="R97" i="2"/>
  <c r="Q96" i="2"/>
  <c r="W96" i="2" s="1"/>
  <c r="R96" i="2"/>
  <c r="R93" i="2"/>
  <c r="Q93" i="2"/>
  <c r="V93" i="2" s="1"/>
  <c r="Q91" i="2"/>
  <c r="V91" i="2" s="1"/>
  <c r="R91" i="2"/>
  <c r="Q88" i="2"/>
  <c r="V88" i="2" s="1"/>
  <c r="R88" i="2"/>
  <c r="T87" i="2"/>
  <c r="S87" i="2"/>
  <c r="U87" i="2"/>
  <c r="Q75" i="2"/>
  <c r="W75" i="2" s="1"/>
  <c r="R75" i="2"/>
  <c r="Q72" i="2"/>
  <c r="V72" i="2" s="1"/>
  <c r="R72" i="2"/>
  <c r="T71" i="2"/>
  <c r="S71" i="2"/>
  <c r="U71" i="2"/>
  <c r="Q61" i="2"/>
  <c r="W61" i="2" s="1"/>
  <c r="R61" i="2"/>
  <c r="V61" i="2"/>
  <c r="Q57" i="2"/>
  <c r="V57" i="2" s="1"/>
  <c r="R57" i="2"/>
  <c r="Q36" i="2"/>
  <c r="R36" i="2"/>
  <c r="Q26" i="2"/>
  <c r="V26" i="2" s="1"/>
  <c r="R26" i="2"/>
  <c r="T166" i="2"/>
  <c r="T158" i="2"/>
  <c r="W111" i="2"/>
  <c r="W108" i="2"/>
  <c r="U107" i="2"/>
  <c r="W103" i="2"/>
  <c r="Q99" i="2"/>
  <c r="V99" i="2" s="1"/>
  <c r="Q95" i="2"/>
  <c r="V95" i="2" s="1"/>
  <c r="R90" i="2"/>
  <c r="Q86" i="2"/>
  <c r="S81" i="2"/>
  <c r="T81" i="2"/>
  <c r="U81" i="2"/>
  <c r="R77" i="2"/>
  <c r="Q77" i="2"/>
  <c r="V77" i="2" s="1"/>
  <c r="R74" i="2"/>
  <c r="S65" i="2"/>
  <c r="T65" i="2"/>
  <c r="U65" i="2"/>
  <c r="R60" i="2"/>
  <c r="Q60" i="2"/>
  <c r="W60" i="2" s="1"/>
  <c r="V51" i="2"/>
  <c r="R51" i="2"/>
  <c r="S51" i="2"/>
  <c r="T51" i="2"/>
  <c r="U51" i="2"/>
  <c r="Q42" i="2"/>
  <c r="V42" i="2" s="1"/>
  <c r="R42" i="2"/>
  <c r="T90" i="2"/>
  <c r="T82" i="2"/>
  <c r="T74" i="2"/>
  <c r="T66" i="2"/>
  <c r="S60" i="2"/>
  <c r="S58" i="2"/>
  <c r="U58" i="2"/>
  <c r="T56" i="2"/>
  <c r="U56" i="2"/>
  <c r="R53" i="2"/>
  <c r="Q52" i="2"/>
  <c r="Q50" i="2"/>
  <c r="V50" i="2" s="1"/>
  <c r="R50" i="2"/>
  <c r="W40" i="2"/>
  <c r="R40" i="2"/>
  <c r="S40" i="2"/>
  <c r="T40" i="2"/>
  <c r="U40" i="2"/>
  <c r="R37" i="2"/>
  <c r="R24" i="2"/>
  <c r="S24" i="2"/>
  <c r="T24" i="2"/>
  <c r="U24" i="2"/>
  <c r="R11" i="2"/>
  <c r="S11" i="2"/>
  <c r="T11" i="2"/>
  <c r="U11" i="2"/>
  <c r="Q92" i="2"/>
  <c r="R89" i="2"/>
  <c r="V89" i="2"/>
  <c r="U86" i="2"/>
  <c r="Q84" i="2"/>
  <c r="R81" i="2"/>
  <c r="V81" i="2"/>
  <c r="U78" i="2"/>
  <c r="Q76" i="2"/>
  <c r="R73" i="2"/>
  <c r="Q68" i="2"/>
  <c r="R65" i="2"/>
  <c r="R62" i="2"/>
  <c r="Q49" i="2"/>
  <c r="V49" i="2" s="1"/>
  <c r="R35" i="2"/>
  <c r="S35" i="2"/>
  <c r="T35" i="2"/>
  <c r="U35" i="2"/>
  <c r="Q33" i="2"/>
  <c r="V33" i="2" s="1"/>
  <c r="R33" i="2"/>
  <c r="V15" i="2"/>
  <c r="W15" i="2"/>
  <c r="R15" i="2"/>
  <c r="S15" i="2"/>
  <c r="T15" i="2"/>
  <c r="U15" i="2"/>
  <c r="R58" i="2"/>
  <c r="R56" i="2"/>
  <c r="V19" i="2"/>
  <c r="W19" i="2"/>
  <c r="S19" i="2"/>
  <c r="T19" i="2"/>
  <c r="U19" i="2"/>
  <c r="T59" i="2"/>
  <c r="U55" i="2"/>
  <c r="Q54" i="2"/>
  <c r="W54" i="2" s="1"/>
  <c r="R54" i="2"/>
  <c r="S52" i="2"/>
  <c r="T52" i="2"/>
  <c r="R47" i="2"/>
  <c r="Q45" i="2"/>
  <c r="T43" i="2"/>
  <c r="U39" i="2"/>
  <c r="Q38" i="2"/>
  <c r="W38" i="2" s="1"/>
  <c r="R38" i="2"/>
  <c r="S36" i="2"/>
  <c r="T36" i="2"/>
  <c r="V31" i="2"/>
  <c r="W31" i="2"/>
  <c r="R31" i="2"/>
  <c r="Q29" i="2"/>
  <c r="T27" i="2"/>
  <c r="U23" i="2"/>
  <c r="Q21" i="2"/>
  <c r="W21" i="2" s="1"/>
  <c r="R21" i="2"/>
  <c r="Q20" i="2"/>
  <c r="Q17" i="2"/>
  <c r="W17" i="2" s="1"/>
  <c r="R17" i="2"/>
  <c r="Q16" i="2"/>
  <c r="Q13" i="2"/>
  <c r="W13" i="2" s="1"/>
  <c r="R13" i="2"/>
  <c r="Q12" i="2"/>
  <c r="Q9" i="2"/>
  <c r="W9" i="2" s="1"/>
  <c r="R9" i="2"/>
  <c r="Q8" i="2"/>
  <c r="S48" i="2"/>
  <c r="T48" i="2"/>
  <c r="V43" i="2"/>
  <c r="W43" i="2"/>
  <c r="R43" i="2"/>
  <c r="Q34" i="2"/>
  <c r="W34" i="2" s="1"/>
  <c r="R34" i="2"/>
  <c r="S32" i="2"/>
  <c r="T32" i="2"/>
  <c r="V27" i="2"/>
  <c r="R27" i="2"/>
  <c r="R7" i="2"/>
  <c r="V6" i="2"/>
  <c r="W6" i="2"/>
  <c r="V55" i="2"/>
  <c r="R55" i="2"/>
  <c r="Q53" i="2"/>
  <c r="W53" i="2" s="1"/>
  <c r="Q46" i="2"/>
  <c r="W46" i="2" s="1"/>
  <c r="R46" i="2"/>
  <c r="S44" i="2"/>
  <c r="T44" i="2"/>
  <c r="V39" i="2"/>
  <c r="R39" i="2"/>
  <c r="Q37" i="2"/>
  <c r="W37" i="2" s="1"/>
  <c r="Q30" i="2"/>
  <c r="W30" i="2" s="1"/>
  <c r="R30" i="2"/>
  <c r="S28" i="2"/>
  <c r="T28" i="2"/>
  <c r="W23" i="2"/>
  <c r="R23" i="2"/>
  <c r="R22" i="2"/>
  <c r="T20" i="2"/>
  <c r="V18" i="2"/>
  <c r="R18" i="2"/>
  <c r="T16" i="2"/>
  <c r="R14" i="2"/>
  <c r="T12" i="2"/>
  <c r="V10" i="2"/>
  <c r="R10" i="2"/>
  <c r="T8" i="2"/>
  <c r="I26" i="3"/>
  <c r="H6" i="9"/>
  <c r="H6" i="8"/>
  <c r="C24" i="3"/>
  <c r="H6" i="11"/>
  <c r="H6" i="10"/>
  <c r="E21" i="11"/>
  <c r="E13" i="10"/>
  <c r="I15" i="10"/>
  <c r="I16" i="10"/>
  <c r="E18" i="10"/>
  <c r="D19" i="10"/>
  <c r="D21" i="10"/>
  <c r="C25" i="10"/>
  <c r="C15" i="9"/>
  <c r="C16" i="9"/>
  <c r="C17" i="9"/>
  <c r="C18" i="9"/>
  <c r="E19" i="9"/>
  <c r="C20" i="9"/>
  <c r="C15" i="8"/>
  <c r="C16" i="8"/>
  <c r="C17" i="8"/>
  <c r="C18" i="8"/>
  <c r="E19" i="8"/>
  <c r="D20" i="8"/>
  <c r="C21" i="8"/>
  <c r="D13" i="11"/>
  <c r="C14" i="11"/>
  <c r="I14" i="11"/>
  <c r="E15" i="11"/>
  <c r="E16" i="11"/>
  <c r="E17" i="11"/>
  <c r="E18" i="11"/>
  <c r="C19" i="11"/>
  <c r="E13" i="11"/>
  <c r="I15" i="11"/>
  <c r="I16" i="11"/>
  <c r="D19" i="11"/>
  <c r="C20" i="11"/>
  <c r="C15" i="10"/>
  <c r="C16" i="10"/>
  <c r="C17" i="10"/>
  <c r="E19" i="10"/>
  <c r="C20" i="10"/>
  <c r="E21" i="10"/>
  <c r="C13" i="9"/>
  <c r="D15" i="9"/>
  <c r="F15" i="9" s="1"/>
  <c r="D16" i="9"/>
  <c r="F16" i="9" s="1"/>
  <c r="D17" i="9"/>
  <c r="F17" i="9" s="1"/>
  <c r="D18" i="9"/>
  <c r="F18" i="9" s="1"/>
  <c r="D20" i="9"/>
  <c r="F20" i="9" s="1"/>
  <c r="C21" i="9"/>
  <c r="C13" i="8"/>
  <c r="D15" i="8"/>
  <c r="F15" i="8" s="1"/>
  <c r="D16" i="8"/>
  <c r="F16" i="8" s="1"/>
  <c r="D17" i="8"/>
  <c r="F17" i="8" s="1"/>
  <c r="D18" i="8"/>
  <c r="F18" i="8" s="1"/>
  <c r="E20" i="8"/>
  <c r="D21" i="8"/>
  <c r="F21" i="8" s="1"/>
  <c r="C15" i="11"/>
  <c r="C16" i="11"/>
  <c r="C17" i="11"/>
  <c r="C18" i="11"/>
  <c r="E19" i="11"/>
  <c r="D20" i="11"/>
  <c r="C21" i="11"/>
  <c r="D20" i="10"/>
  <c r="F20" i="10" s="1"/>
  <c r="D13" i="9"/>
  <c r="C14" i="9"/>
  <c r="I14" i="9"/>
  <c r="E15" i="9"/>
  <c r="E16" i="9"/>
  <c r="E17" i="9"/>
  <c r="E18" i="9"/>
  <c r="C19" i="9"/>
  <c r="E20" i="9"/>
  <c r="D21" i="9"/>
  <c r="F21" i="9" s="1"/>
  <c r="C14" i="8"/>
  <c r="I14" i="8"/>
  <c r="E15" i="8"/>
  <c r="E16" i="8"/>
  <c r="E17" i="8"/>
  <c r="E18" i="8"/>
  <c r="C19" i="8"/>
  <c r="E21" i="8"/>
  <c r="D15" i="10"/>
  <c r="F15" i="10" s="1"/>
  <c r="D16" i="10"/>
  <c r="F16" i="10" s="1"/>
  <c r="D17" i="10"/>
  <c r="F17" i="10" s="1"/>
  <c r="C18" i="10"/>
  <c r="C13" i="11"/>
  <c r="D15" i="11"/>
  <c r="F15" i="11" s="1"/>
  <c r="D16" i="11"/>
  <c r="F16" i="11" s="1"/>
  <c r="D17" i="11"/>
  <c r="F17" i="11" s="1"/>
  <c r="D18" i="11"/>
  <c r="F18" i="11" s="1"/>
  <c r="E20" i="11"/>
  <c r="D21" i="11"/>
  <c r="F21" i="11" s="1"/>
  <c r="D13" i="10"/>
  <c r="F13" i="10" s="1"/>
  <c r="I14" i="10"/>
  <c r="E15" i="10"/>
  <c r="E16" i="10"/>
  <c r="E17" i="10"/>
  <c r="D18" i="10"/>
  <c r="C19" i="10"/>
  <c r="E20" i="10"/>
  <c r="C21" i="10"/>
  <c r="E13" i="9"/>
  <c r="I15" i="9"/>
  <c r="I16" i="9"/>
  <c r="D19" i="9"/>
  <c r="F19" i="9" s="1"/>
  <c r="E21" i="9"/>
  <c r="I15" i="8"/>
  <c r="I16" i="8"/>
  <c r="D19" i="8"/>
  <c r="F19" i="8" s="1"/>
  <c r="C20" i="8"/>
  <c r="F13" i="9"/>
  <c r="C25" i="8"/>
  <c r="C25" i="9"/>
  <c r="C25" i="11"/>
  <c r="K129" i="1"/>
  <c r="K128" i="2" s="1"/>
  <c r="K125" i="1"/>
  <c r="K124" i="2" s="1"/>
  <c r="E31" i="3"/>
  <c r="D30" i="3"/>
  <c r="C29" i="3"/>
  <c r="E27" i="3"/>
  <c r="D26" i="3"/>
  <c r="C25" i="3"/>
  <c r="E32" i="3"/>
  <c r="D31" i="3"/>
  <c r="C30" i="3"/>
  <c r="E28" i="3"/>
  <c r="D27" i="3"/>
  <c r="C26" i="3"/>
  <c r="I27" i="3"/>
  <c r="I25" i="3"/>
  <c r="D32" i="3"/>
  <c r="C31" i="3"/>
  <c r="E29" i="3"/>
  <c r="D28" i="3"/>
  <c r="C27" i="3"/>
  <c r="I13" i="3"/>
  <c r="C32" i="3"/>
  <c r="E30" i="3"/>
  <c r="D29" i="3"/>
  <c r="F29" i="3" s="1"/>
  <c r="C28" i="3"/>
  <c r="E26" i="3"/>
  <c r="K130" i="1"/>
  <c r="K129" i="2" s="1"/>
  <c r="K121" i="1"/>
  <c r="K120" i="2" s="1"/>
  <c r="K126" i="1"/>
  <c r="K125" i="2" s="1"/>
  <c r="K128" i="1"/>
  <c r="K124" i="1"/>
  <c r="K123" i="2" s="1"/>
  <c r="K120" i="1"/>
  <c r="K119" i="2" s="1"/>
  <c r="K127" i="1"/>
  <c r="K126" i="2" s="1"/>
  <c r="K123" i="1"/>
  <c r="K122" i="2" s="1"/>
  <c r="T5" i="2"/>
  <c r="S5" i="2"/>
  <c r="K47" i="1"/>
  <c r="K46" i="2" s="1"/>
  <c r="K56" i="1"/>
  <c r="K55" i="2" s="1"/>
  <c r="K96" i="1"/>
  <c r="K95" i="2" s="1"/>
  <c r="K81" i="1"/>
  <c r="K80" i="2" s="1"/>
  <c r="K32" i="1"/>
  <c r="K31" i="2" s="1"/>
  <c r="K68" i="1"/>
  <c r="K67" i="2" s="1"/>
  <c r="K111" i="1"/>
  <c r="K110" i="2" s="1"/>
  <c r="K67" i="1"/>
  <c r="K66" i="2" s="1"/>
  <c r="K116" i="1"/>
  <c r="K115" i="2" s="1"/>
  <c r="K108" i="1"/>
  <c r="K107" i="2" s="1"/>
  <c r="K92" i="1"/>
  <c r="K91" i="2" s="1"/>
  <c r="K80" i="1"/>
  <c r="K79" i="2" s="1"/>
  <c r="K52" i="1"/>
  <c r="K51" i="2" s="1"/>
  <c r="K44" i="1"/>
  <c r="K43" i="2" s="1"/>
  <c r="K28" i="1"/>
  <c r="K27" i="2" s="1"/>
  <c r="K16" i="1"/>
  <c r="K15" i="2" s="1"/>
  <c r="K113" i="1"/>
  <c r="K112" i="2" s="1"/>
  <c r="K104" i="1"/>
  <c r="K103" i="2" s="1"/>
  <c r="K88" i="1"/>
  <c r="K87" i="2" s="1"/>
  <c r="K76" i="1"/>
  <c r="K75" i="2" s="1"/>
  <c r="K64" i="1"/>
  <c r="K63" i="2" s="1"/>
  <c r="K49" i="1"/>
  <c r="K48" i="2" s="1"/>
  <c r="K40" i="1"/>
  <c r="K39" i="2" s="1"/>
  <c r="K24" i="1"/>
  <c r="K23" i="2" s="1"/>
  <c r="K12" i="1"/>
  <c r="K11" i="2" s="1"/>
  <c r="K112" i="1"/>
  <c r="K111" i="2" s="1"/>
  <c r="K100" i="1"/>
  <c r="K99" i="2" s="1"/>
  <c r="K84" i="1"/>
  <c r="K83" i="2" s="1"/>
  <c r="K72" i="1"/>
  <c r="K71" i="2" s="1"/>
  <c r="K60" i="1"/>
  <c r="K59" i="2" s="1"/>
  <c r="K48" i="1"/>
  <c r="K47" i="2" s="1"/>
  <c r="K36" i="1"/>
  <c r="K35" i="2" s="1"/>
  <c r="K20" i="1"/>
  <c r="K19" i="2" s="1"/>
  <c r="K8" i="1"/>
  <c r="K7" i="2" s="1"/>
  <c r="K97" i="1"/>
  <c r="K96" i="2" s="1"/>
  <c r="K75" i="1"/>
  <c r="K74" i="2" s="1"/>
  <c r="K65" i="1"/>
  <c r="K64" i="2" s="1"/>
  <c r="K33" i="1"/>
  <c r="K32" i="2" s="1"/>
  <c r="K11" i="1"/>
  <c r="K10" i="2" s="1"/>
  <c r="K103" i="1"/>
  <c r="K102" i="2" s="1"/>
  <c r="K39" i="1"/>
  <c r="K38" i="2" s="1"/>
  <c r="K115" i="1"/>
  <c r="K114" i="2" s="1"/>
  <c r="K95" i="1"/>
  <c r="K94" i="2" s="1"/>
  <c r="K87" i="1"/>
  <c r="K86" i="2" s="1"/>
  <c r="K59" i="1"/>
  <c r="K58" i="2" s="1"/>
  <c r="K51" i="1"/>
  <c r="K50" i="2" s="1"/>
  <c r="K31" i="1"/>
  <c r="K30" i="2" s="1"/>
  <c r="K23" i="1"/>
  <c r="K22" i="2" s="1"/>
  <c r="K107" i="1"/>
  <c r="K106" i="2" s="1"/>
  <c r="K99" i="1"/>
  <c r="K98" i="2" s="1"/>
  <c r="K79" i="1"/>
  <c r="K78" i="2" s="1"/>
  <c r="K71" i="1"/>
  <c r="K70" i="2" s="1"/>
  <c r="K43" i="1"/>
  <c r="K42" i="2" s="1"/>
  <c r="K35" i="1"/>
  <c r="K34" i="2" s="1"/>
  <c r="K15" i="1"/>
  <c r="K14" i="2" s="1"/>
  <c r="K7" i="1"/>
  <c r="K6" i="2" s="1"/>
  <c r="K119" i="1"/>
  <c r="K118" i="2" s="1"/>
  <c r="K91" i="1"/>
  <c r="K90" i="2" s="1"/>
  <c r="K83" i="1"/>
  <c r="K82" i="2" s="1"/>
  <c r="K63" i="1"/>
  <c r="K62" i="2" s="1"/>
  <c r="K55" i="1"/>
  <c r="K54" i="2" s="1"/>
  <c r="K27" i="1"/>
  <c r="K26" i="2" s="1"/>
  <c r="K19" i="1"/>
  <c r="K18" i="2" s="1"/>
  <c r="K117" i="1"/>
  <c r="K116" i="2" s="1"/>
  <c r="K101" i="1"/>
  <c r="K100" i="2" s="1"/>
  <c r="K85" i="1"/>
  <c r="K84" i="2" s="1"/>
  <c r="K69" i="1"/>
  <c r="K68" i="2" s="1"/>
  <c r="K53" i="1"/>
  <c r="K52" i="2" s="1"/>
  <c r="K37" i="1"/>
  <c r="K36" i="2" s="1"/>
  <c r="K21" i="1"/>
  <c r="K20" i="2" s="1"/>
  <c r="K105" i="1"/>
  <c r="K104" i="2" s="1"/>
  <c r="K89" i="1"/>
  <c r="K88" i="2" s="1"/>
  <c r="K73" i="1"/>
  <c r="K72" i="2" s="1"/>
  <c r="K57" i="1"/>
  <c r="K56" i="2" s="1"/>
  <c r="K41" i="1"/>
  <c r="K40" i="2" s="1"/>
  <c r="K25" i="1"/>
  <c r="K24" i="2" s="1"/>
  <c r="K9" i="1"/>
  <c r="K8" i="2" s="1"/>
  <c r="K109" i="1"/>
  <c r="K108" i="2" s="1"/>
  <c r="K93" i="1"/>
  <c r="K92" i="2" s="1"/>
  <c r="K77" i="1"/>
  <c r="K76" i="2" s="1"/>
  <c r="K61" i="1"/>
  <c r="K60" i="2" s="1"/>
  <c r="K45" i="1"/>
  <c r="K44" i="2" s="1"/>
  <c r="K29" i="1"/>
  <c r="K28" i="2" s="1"/>
  <c r="K13" i="1"/>
  <c r="K12" i="2" s="1"/>
  <c r="K118" i="1"/>
  <c r="K117" i="2" s="1"/>
  <c r="K102" i="1"/>
  <c r="K101" i="2" s="1"/>
  <c r="K98" i="1"/>
  <c r="K97" i="2" s="1"/>
  <c r="K94" i="1"/>
  <c r="K93" i="2" s="1"/>
  <c r="K86" i="1"/>
  <c r="K85" i="2" s="1"/>
  <c r="K82" i="1"/>
  <c r="K81" i="2" s="1"/>
  <c r="K78" i="1"/>
  <c r="K77" i="2" s="1"/>
  <c r="K74" i="1"/>
  <c r="K73" i="2" s="1"/>
  <c r="K58" i="1"/>
  <c r="K57" i="2" s="1"/>
  <c r="K50" i="1"/>
  <c r="K49" i="2" s="1"/>
  <c r="K46" i="1"/>
  <c r="K45" i="2" s="1"/>
  <c r="K42" i="1"/>
  <c r="K41" i="2" s="1"/>
  <c r="K38" i="1"/>
  <c r="K37" i="2" s="1"/>
  <c r="K30" i="1"/>
  <c r="K29" i="2" s="1"/>
  <c r="K26" i="1"/>
  <c r="K25" i="2" s="1"/>
  <c r="K22" i="1"/>
  <c r="K21" i="2" s="1"/>
  <c r="K18" i="1"/>
  <c r="K17" i="2" s="1"/>
  <c r="K14" i="1"/>
  <c r="K13" i="2" s="1"/>
  <c r="K10" i="1"/>
  <c r="K9" i="2" s="1"/>
  <c r="K110" i="1"/>
  <c r="K109" i="2" s="1"/>
  <c r="K106" i="1"/>
  <c r="K105" i="2" s="1"/>
  <c r="K66" i="1"/>
  <c r="K65" i="2" s="1"/>
  <c r="K62" i="1"/>
  <c r="K61" i="2" s="1"/>
  <c r="K34" i="1"/>
  <c r="K33" i="2" s="1"/>
  <c r="K90" i="1"/>
  <c r="K89" i="2" s="1"/>
  <c r="K70" i="1"/>
  <c r="K69" i="2" s="1"/>
  <c r="K54" i="1"/>
  <c r="K53" i="2" s="1"/>
  <c r="K114" i="1"/>
  <c r="K113" i="2" s="1"/>
  <c r="I18" i="3"/>
  <c r="R5" i="2"/>
  <c r="I15" i="3"/>
  <c r="I19" i="3"/>
  <c r="K14" i="3"/>
  <c r="I16" i="3"/>
  <c r="I20" i="3"/>
  <c r="J14" i="3"/>
  <c r="I17" i="3"/>
  <c r="I14" i="3"/>
  <c r="J17" i="3"/>
  <c r="K20" i="3"/>
  <c r="J19" i="3"/>
  <c r="K17" i="3"/>
  <c r="J20" i="3"/>
  <c r="J6" i="3"/>
  <c r="C13" i="4"/>
  <c r="C7" i="4"/>
  <c r="E11" i="4"/>
  <c r="H6" i="3"/>
  <c r="U5" i="2"/>
  <c r="G13" i="4"/>
  <c r="E20" i="3"/>
  <c r="D20" i="3"/>
  <c r="J5" i="2"/>
  <c r="Q5" i="2" s="1"/>
  <c r="V5" i="2" s="1"/>
  <c r="C13" i="3"/>
  <c r="C14" i="3"/>
  <c r="E15" i="3"/>
  <c r="D15" i="3"/>
  <c r="C15" i="3"/>
  <c r="C16" i="3"/>
  <c r="E17" i="3"/>
  <c r="D17" i="3"/>
  <c r="C17" i="3"/>
  <c r="C18" i="3"/>
  <c r="E19" i="3"/>
  <c r="D19" i="3"/>
  <c r="C19" i="3"/>
  <c r="C20" i="3"/>
  <c r="J11" i="4"/>
  <c r="H13" i="4"/>
  <c r="C11" i="4"/>
  <c r="K11" i="4"/>
  <c r="E13" i="4"/>
  <c r="I13" i="4"/>
  <c r="J13" i="4"/>
  <c r="C12" i="4"/>
  <c r="G12" i="4"/>
  <c r="D13" i="4"/>
  <c r="F20" i="11" l="1"/>
  <c r="V187" i="2"/>
  <c r="V253" i="2"/>
  <c r="W299" i="2"/>
  <c r="W328" i="2"/>
  <c r="V48" i="2"/>
  <c r="V58" i="2"/>
  <c r="V24" i="2"/>
  <c r="V105" i="2"/>
  <c r="W80" i="2"/>
  <c r="V233" i="2"/>
  <c r="V143" i="2"/>
  <c r="V311" i="2"/>
  <c r="V367" i="2"/>
  <c r="V336" i="2"/>
  <c r="W373" i="2"/>
  <c r="W442" i="2"/>
  <c r="V457" i="2"/>
  <c r="W490" i="2"/>
  <c r="V497" i="2"/>
  <c r="V404" i="2"/>
  <c r="W447" i="2"/>
  <c r="V479" i="2"/>
  <c r="V411" i="2"/>
  <c r="V499" i="2"/>
  <c r="V46" i="2"/>
  <c r="W91" i="2"/>
  <c r="V210" i="2"/>
  <c r="V329" i="2"/>
  <c r="V337" i="2"/>
  <c r="V361" i="2"/>
  <c r="W398" i="2"/>
  <c r="W402" i="2"/>
  <c r="W438" i="2"/>
  <c r="W454" i="2"/>
  <c r="W470" i="2"/>
  <c r="W482" i="2"/>
  <c r="W494" i="2"/>
  <c r="V326" i="2"/>
  <c r="V484" i="2"/>
  <c r="V338" i="2"/>
  <c r="V35" i="2"/>
  <c r="V97" i="2"/>
  <c r="W63" i="2"/>
  <c r="V195" i="2"/>
  <c r="V127" i="2"/>
  <c r="W155" i="2"/>
  <c r="V248" i="2"/>
  <c r="V261" i="2"/>
  <c r="W308" i="2"/>
  <c r="V318" i="2"/>
  <c r="V345" i="2"/>
  <c r="V355" i="2"/>
  <c r="W389" i="2"/>
  <c r="V449" i="2"/>
  <c r="V473" i="2"/>
  <c r="W498" i="2"/>
  <c r="W334" i="2"/>
  <c r="W415" i="2"/>
  <c r="V374" i="2"/>
  <c r="W358" i="2"/>
  <c r="V62" i="2"/>
  <c r="W11" i="2"/>
  <c r="W174" i="2"/>
  <c r="W83" i="2"/>
  <c r="W214" i="2"/>
  <c r="V331" i="2"/>
  <c r="V387" i="2"/>
  <c r="V417" i="2"/>
  <c r="W450" i="2"/>
  <c r="V452" i="2"/>
  <c r="W399" i="2"/>
  <c r="W463" i="2"/>
  <c r="V435" i="2"/>
  <c r="V491" i="2"/>
  <c r="V14" i="2"/>
  <c r="W298" i="2"/>
  <c r="V339" i="2"/>
  <c r="W414" i="2"/>
  <c r="W462" i="2"/>
  <c r="W478" i="2"/>
  <c r="V485" i="2"/>
  <c r="W166" i="2"/>
  <c r="E14" i="10"/>
  <c r="V32" i="2"/>
  <c r="V34" i="2"/>
  <c r="V37" i="2"/>
  <c r="W47" i="2"/>
  <c r="V54" i="2"/>
  <c r="V73" i="2"/>
  <c r="W147" i="2"/>
  <c r="V165" i="2"/>
  <c r="V181" i="2"/>
  <c r="V117" i="2"/>
  <c r="V133" i="2"/>
  <c r="V241" i="2"/>
  <c r="W144" i="2"/>
  <c r="W107" i="2"/>
  <c r="V222" i="2"/>
  <c r="V301" i="2"/>
  <c r="W223" i="2"/>
  <c r="W255" i="2"/>
  <c r="V285" i="2"/>
  <c r="V290" i="2"/>
  <c r="W316" i="2"/>
  <c r="W112" i="2"/>
  <c r="V313" i="2"/>
  <c r="V353" i="2"/>
  <c r="V469" i="2"/>
  <c r="W486" i="2"/>
  <c r="V489" i="2"/>
  <c r="V432" i="2"/>
  <c r="V468" i="2"/>
  <c r="W344" i="2"/>
  <c r="W360" i="2"/>
  <c r="W379" i="2"/>
  <c r="V400" i="2"/>
  <c r="V428" i="2"/>
  <c r="V496" i="2"/>
  <c r="W390" i="2"/>
  <c r="V443" i="2"/>
  <c r="V459" i="2"/>
  <c r="V322" i="2"/>
  <c r="V483" i="2"/>
  <c r="W25" i="2"/>
  <c r="V250" i="2"/>
  <c r="V170" i="2"/>
  <c r="V176" i="2"/>
  <c r="V7" i="2"/>
  <c r="V22" i="2"/>
  <c r="V9" i="2"/>
  <c r="V13" i="2"/>
  <c r="V17" i="2"/>
  <c r="V21" i="2"/>
  <c r="V38" i="2"/>
  <c r="V65" i="2"/>
  <c r="V129" i="2"/>
  <c r="V145" i="2"/>
  <c r="V161" i="2"/>
  <c r="V169" i="2"/>
  <c r="V193" i="2"/>
  <c r="V201" i="2"/>
  <c r="V265" i="2"/>
  <c r="V216" i="2"/>
  <c r="W291" i="2"/>
  <c r="V309" i="2"/>
  <c r="V325" i="2"/>
  <c r="V310" i="2"/>
  <c r="V376" i="2"/>
  <c r="V405" i="2"/>
  <c r="V409" i="2"/>
  <c r="V421" i="2"/>
  <c r="V425" i="2"/>
  <c r="V433" i="2"/>
  <c r="V437" i="2"/>
  <c r="V441" i="2"/>
  <c r="V453" i="2"/>
  <c r="W466" i="2"/>
  <c r="W474" i="2"/>
  <c r="V198" i="2"/>
  <c r="V495" i="2"/>
  <c r="V427" i="2"/>
  <c r="V114" i="2"/>
  <c r="V448" i="2"/>
  <c r="V416" i="2"/>
  <c r="V444" i="2"/>
  <c r="V282" i="2"/>
  <c r="V314" i="2"/>
  <c r="W152" i="2"/>
  <c r="V224" i="2"/>
  <c r="W243" i="2"/>
  <c r="V297" i="2"/>
  <c r="V149" i="2"/>
  <c r="W347" i="2"/>
  <c r="W130" i="2"/>
  <c r="V130" i="2"/>
  <c r="V199" i="2"/>
  <c r="W199" i="2"/>
  <c r="V44" i="2"/>
  <c r="W151" i="2"/>
  <c r="V151" i="2"/>
  <c r="W218" i="2"/>
  <c r="V218" i="2"/>
  <c r="V74" i="2"/>
  <c r="V138" i="2"/>
  <c r="K18" i="3"/>
  <c r="K127" i="2"/>
  <c r="W56" i="2"/>
  <c r="V101" i="2"/>
  <c r="W50" i="2"/>
  <c r="V60" i="2"/>
  <c r="W57" i="2"/>
  <c r="W88" i="2"/>
  <c r="V69" i="2"/>
  <c r="W85" i="2"/>
  <c r="V141" i="2"/>
  <c r="V157" i="2"/>
  <c r="V205" i="2"/>
  <c r="V227" i="2"/>
  <c r="W237" i="2"/>
  <c r="V240" i="2"/>
  <c r="V197" i="2"/>
  <c r="V213" i="2"/>
  <c r="V229" i="2"/>
  <c r="V245" i="2"/>
  <c r="V277" i="2"/>
  <c r="W283" i="2"/>
  <c r="W319" i="2"/>
  <c r="W288" i="2"/>
  <c r="W341" i="2"/>
  <c r="V115" i="2"/>
  <c r="V41" i="2"/>
  <c r="W146" i="2"/>
  <c r="V146" i="2"/>
  <c r="V332" i="2"/>
  <c r="W332" i="2"/>
  <c r="W266" i="2"/>
  <c r="V266" i="2"/>
  <c r="V343" i="2"/>
  <c r="W370" i="2"/>
  <c r="V370" i="2"/>
  <c r="W26" i="2"/>
  <c r="V96" i="2"/>
  <c r="V100" i="2"/>
  <c r="V324" i="2"/>
  <c r="V460" i="2"/>
  <c r="W59" i="2"/>
  <c r="V59" i="2"/>
  <c r="W190" i="2"/>
  <c r="V190" i="2"/>
  <c r="W287" i="2"/>
  <c r="V287" i="2"/>
  <c r="W391" i="2"/>
  <c r="V391" i="2"/>
  <c r="V182" i="2"/>
  <c r="W93" i="2"/>
  <c r="V269" i="2"/>
  <c r="V275" i="2"/>
  <c r="W357" i="2"/>
  <c r="W28" i="2"/>
  <c r="V28" i="2"/>
  <c r="W66" i="2"/>
  <c r="V66" i="2"/>
  <c r="W202" i="2"/>
  <c r="V202" i="2"/>
  <c r="V296" i="2"/>
  <c r="W296" i="2"/>
  <c r="W162" i="2"/>
  <c r="V162" i="2"/>
  <c r="V231" i="2"/>
  <c r="W231" i="2"/>
  <c r="V247" i="2"/>
  <c r="W247" i="2"/>
  <c r="W8" i="2"/>
  <c r="V8" i="2"/>
  <c r="W12" i="2"/>
  <c r="V12" i="2"/>
  <c r="W16" i="2"/>
  <c r="V16" i="2"/>
  <c r="W20" i="2"/>
  <c r="V20" i="2"/>
  <c r="V53" i="2"/>
  <c r="W49" i="2"/>
  <c r="W77" i="2"/>
  <c r="V75" i="2"/>
  <c r="W124" i="2"/>
  <c r="V124" i="2"/>
  <c r="W125" i="2"/>
  <c r="W134" i="2"/>
  <c r="V134" i="2"/>
  <c r="V67" i="2"/>
  <c r="W109" i="2"/>
  <c r="W110" i="2"/>
  <c r="V110" i="2"/>
  <c r="V123" i="2"/>
  <c r="V139" i="2"/>
  <c r="V163" i="2"/>
  <c r="V204" i="2"/>
  <c r="W204" i="2"/>
  <c r="V236" i="2"/>
  <c r="W236" i="2"/>
  <c r="V268" i="2"/>
  <c r="W268" i="2"/>
  <c r="V211" i="2"/>
  <c r="W221" i="2"/>
  <c r="V292" i="2"/>
  <c r="W292" i="2"/>
  <c r="V219" i="2"/>
  <c r="V251" i="2"/>
  <c r="W272" i="2"/>
  <c r="V304" i="2"/>
  <c r="W304" i="2"/>
  <c r="W168" i="2"/>
  <c r="W286" i="2"/>
  <c r="V286" i="2"/>
  <c r="W295" i="2"/>
  <c r="V464" i="2"/>
  <c r="V131" i="2"/>
  <c r="W364" i="2"/>
  <c r="V364" i="2"/>
  <c r="W380" i="2"/>
  <c r="V380" i="2"/>
  <c r="V381" i="2"/>
  <c r="V480" i="2"/>
  <c r="W76" i="2"/>
  <c r="V76" i="2"/>
  <c r="W84" i="2"/>
  <c r="V84" i="2"/>
  <c r="V92" i="2"/>
  <c r="W92" i="2"/>
  <c r="W116" i="2"/>
  <c r="V116" i="2"/>
  <c r="W158" i="2"/>
  <c r="V158" i="2"/>
  <c r="W94" i="2"/>
  <c r="V94" i="2"/>
  <c r="V172" i="2"/>
  <c r="V192" i="2"/>
  <c r="V196" i="2"/>
  <c r="W196" i="2"/>
  <c r="V228" i="2"/>
  <c r="W228" i="2"/>
  <c r="V260" i="2"/>
  <c r="W260" i="2"/>
  <c r="V284" i="2"/>
  <c r="W284" i="2"/>
  <c r="W278" i="2"/>
  <c r="V278" i="2"/>
  <c r="W118" i="2"/>
  <c r="V118" i="2"/>
  <c r="W294" i="2"/>
  <c r="V294" i="2"/>
  <c r="W356" i="2"/>
  <c r="V356" i="2"/>
  <c r="V500" i="2"/>
  <c r="W270" i="2"/>
  <c r="V270" i="2"/>
  <c r="V476" i="2"/>
  <c r="V30" i="2"/>
  <c r="V29" i="2"/>
  <c r="W29" i="2"/>
  <c r="V45" i="2"/>
  <c r="W45" i="2"/>
  <c r="W33" i="2"/>
  <c r="W68" i="2"/>
  <c r="V68" i="2"/>
  <c r="W42" i="2"/>
  <c r="W36" i="2"/>
  <c r="V36" i="2"/>
  <c r="W72" i="2"/>
  <c r="W99" i="2"/>
  <c r="W104" i="2"/>
  <c r="W160" i="2"/>
  <c r="W64" i="2"/>
  <c r="W120" i="2"/>
  <c r="W126" i="2"/>
  <c r="V126" i="2"/>
  <c r="W136" i="2"/>
  <c r="W150" i="2"/>
  <c r="V150" i="2"/>
  <c r="W98" i="2"/>
  <c r="V98" i="2"/>
  <c r="V173" i="2"/>
  <c r="V184" i="2"/>
  <c r="V188" i="2"/>
  <c r="W188" i="2"/>
  <c r="V220" i="2"/>
  <c r="W220" i="2"/>
  <c r="V252" i="2"/>
  <c r="W252" i="2"/>
  <c r="V256" i="2"/>
  <c r="W177" i="2"/>
  <c r="W179" i="2"/>
  <c r="V179" i="2"/>
  <c r="V183" i="2"/>
  <c r="W183" i="2"/>
  <c r="V203" i="2"/>
  <c r="V235" i="2"/>
  <c r="W259" i="2"/>
  <c r="W305" i="2"/>
  <c r="W312" i="2"/>
  <c r="V312" i="2"/>
  <c r="V320" i="2"/>
  <c r="W320" i="2"/>
  <c r="V271" i="2"/>
  <c r="W271" i="2"/>
  <c r="W280" i="2"/>
  <c r="W128" i="2"/>
  <c r="W208" i="2"/>
  <c r="W333" i="2"/>
  <c r="W348" i="2"/>
  <c r="V348" i="2"/>
  <c r="W372" i="2"/>
  <c r="V372" i="2"/>
  <c r="V267" i="2"/>
  <c r="V488" i="2"/>
  <c r="W52" i="2"/>
  <c r="V52" i="2"/>
  <c r="W86" i="2"/>
  <c r="V86" i="2"/>
  <c r="W132" i="2"/>
  <c r="V132" i="2"/>
  <c r="W140" i="2"/>
  <c r="V140" i="2"/>
  <c r="W148" i="2"/>
  <c r="V148" i="2"/>
  <c r="W156" i="2"/>
  <c r="V156" i="2"/>
  <c r="W164" i="2"/>
  <c r="V164" i="2"/>
  <c r="W78" i="2"/>
  <c r="V78" i="2"/>
  <c r="W95" i="2"/>
  <c r="W70" i="2"/>
  <c r="V70" i="2"/>
  <c r="W102" i="2"/>
  <c r="V102" i="2"/>
  <c r="W142" i="2"/>
  <c r="V142" i="2"/>
  <c r="V180" i="2"/>
  <c r="W180" i="2"/>
  <c r="V212" i="2"/>
  <c r="W212" i="2"/>
  <c r="V244" i="2"/>
  <c r="W244" i="2"/>
  <c r="V276" i="2"/>
  <c r="W276" i="2"/>
  <c r="V191" i="2"/>
  <c r="W191" i="2"/>
  <c r="W171" i="2"/>
  <c r="V171" i="2"/>
  <c r="V200" i="2"/>
  <c r="V232" i="2"/>
  <c r="V264" i="2"/>
  <c r="V307" i="2"/>
  <c r="W307" i="2"/>
  <c r="W340" i="2"/>
  <c r="V340" i="2"/>
  <c r="W388" i="2"/>
  <c r="V388" i="2"/>
  <c r="V492" i="2"/>
  <c r="L6" i="10"/>
  <c r="I22" i="8"/>
  <c r="I21" i="9"/>
  <c r="I12" i="4"/>
  <c r="E14" i="9"/>
  <c r="E14" i="8"/>
  <c r="L6" i="8"/>
  <c r="B6" i="11"/>
  <c r="I17" i="11"/>
  <c r="M14" i="8"/>
  <c r="I17" i="9"/>
  <c r="D14" i="9"/>
  <c r="F14" i="9" s="1"/>
  <c r="M13" i="10"/>
  <c r="I20" i="8"/>
  <c r="D13" i="8"/>
  <c r="F13" i="8" s="1"/>
  <c r="I13" i="11"/>
  <c r="I19" i="8"/>
  <c r="I21" i="8"/>
  <c r="I18" i="8"/>
  <c r="I13" i="9"/>
  <c r="M14" i="10"/>
  <c r="D25" i="11"/>
  <c r="F25" i="11" s="1"/>
  <c r="D25" i="8"/>
  <c r="I17" i="8"/>
  <c r="D14" i="8"/>
  <c r="F14" i="8" s="1"/>
  <c r="B6" i="10"/>
  <c r="I19" i="11"/>
  <c r="B6" i="8"/>
  <c r="E25" i="10"/>
  <c r="I21" i="11"/>
  <c r="M13" i="8"/>
  <c r="D25" i="10"/>
  <c r="F25" i="10" s="1"/>
  <c r="L6" i="11"/>
  <c r="D14" i="10"/>
  <c r="F14" i="10" s="1"/>
  <c r="I20" i="11"/>
  <c r="E25" i="8"/>
  <c r="E13" i="8"/>
  <c r="I20" i="9"/>
  <c r="B6" i="9"/>
  <c r="I22" i="11"/>
  <c r="M13" i="11"/>
  <c r="E25" i="11"/>
  <c r="I22" i="9"/>
  <c r="I18" i="11"/>
  <c r="J20" i="11" s="1"/>
  <c r="I19" i="9"/>
  <c r="M14" i="11"/>
  <c r="I13" i="8"/>
  <c r="J13" i="8" s="1"/>
  <c r="I18" i="9"/>
  <c r="D25" i="9"/>
  <c r="M14" i="9"/>
  <c r="E14" i="11"/>
  <c r="E25" i="9"/>
  <c r="M13" i="9"/>
  <c r="N13" i="9" s="1"/>
  <c r="D14" i="11"/>
  <c r="F14" i="11" s="1"/>
  <c r="I18" i="10"/>
  <c r="J13" i="11"/>
  <c r="I17" i="10"/>
  <c r="I22" i="10"/>
  <c r="I19" i="10"/>
  <c r="I13" i="10"/>
  <c r="I20" i="10"/>
  <c r="I21" i="10"/>
  <c r="N13" i="8"/>
  <c r="F13" i="4"/>
  <c r="N13" i="4" s="1"/>
  <c r="F18" i="10"/>
  <c r="F19" i="11"/>
  <c r="F13" i="11"/>
  <c r="F20" i="8"/>
  <c r="F19" i="10"/>
  <c r="N14" i="10"/>
  <c r="F25" i="8"/>
  <c r="F21" i="10"/>
  <c r="F25" i="9"/>
  <c r="J13" i="3"/>
  <c r="L13" i="3" s="1"/>
  <c r="I29" i="3"/>
  <c r="D25" i="3"/>
  <c r="F25" i="3" s="1"/>
  <c r="F32" i="3"/>
  <c r="D24" i="3"/>
  <c r="F24" i="3" s="1"/>
  <c r="K13" i="3"/>
  <c r="E25" i="3"/>
  <c r="E24" i="3"/>
  <c r="F30" i="3"/>
  <c r="I28" i="3"/>
  <c r="I31" i="3"/>
  <c r="I24" i="3"/>
  <c r="I30" i="3"/>
  <c r="I33" i="3"/>
  <c r="I32" i="3"/>
  <c r="F31" i="3"/>
  <c r="F26" i="3"/>
  <c r="F28" i="3"/>
  <c r="F27" i="3"/>
  <c r="K19" i="3"/>
  <c r="J18" i="3"/>
  <c r="L18" i="3" s="1"/>
  <c r="B6" i="3"/>
  <c r="L6" i="3"/>
  <c r="L19" i="3"/>
  <c r="L17" i="3"/>
  <c r="K15" i="3"/>
  <c r="J15" i="3"/>
  <c r="J16" i="3"/>
  <c r="L16" i="3" s="1"/>
  <c r="K16" i="3"/>
  <c r="L20" i="3"/>
  <c r="H12" i="4"/>
  <c r="I7" i="4"/>
  <c r="J12" i="4"/>
  <c r="K12" i="4"/>
  <c r="H7" i="4"/>
  <c r="C8" i="4"/>
  <c r="M11" i="4"/>
  <c r="L11" i="4"/>
  <c r="M13" i="4"/>
  <c r="M10" i="4"/>
  <c r="L13" i="4"/>
  <c r="C10" i="4"/>
  <c r="C9" i="4"/>
  <c r="L10" i="4"/>
  <c r="M8" i="4"/>
  <c r="M9" i="4"/>
  <c r="M7" i="4"/>
  <c r="D9" i="4"/>
  <c r="K9" i="4"/>
  <c r="M12" i="4"/>
  <c r="E9" i="4"/>
  <c r="I9" i="4"/>
  <c r="L7" i="4"/>
  <c r="L9" i="4"/>
  <c r="J9" i="4"/>
  <c r="H9" i="4"/>
  <c r="G9" i="4"/>
  <c r="L12" i="4"/>
  <c r="L8" i="4"/>
  <c r="E8" i="4"/>
  <c r="D8" i="4"/>
  <c r="F8" i="4" s="1"/>
  <c r="N8" i="4" s="1"/>
  <c r="G8" i="4"/>
  <c r="I8" i="4"/>
  <c r="H8" i="4"/>
  <c r="K8" i="4"/>
  <c r="J8" i="4"/>
  <c r="J7" i="4"/>
  <c r="D7" i="4"/>
  <c r="F7" i="4" s="1"/>
  <c r="N7" i="4" s="1"/>
  <c r="D11" i="4"/>
  <c r="F11" i="4" s="1"/>
  <c r="N11" i="4" s="1"/>
  <c r="G11" i="4"/>
  <c r="J10" i="4"/>
  <c r="K10" i="4"/>
  <c r="G7" i="4"/>
  <c r="K13" i="4"/>
  <c r="F19" i="3"/>
  <c r="F17" i="3"/>
  <c r="F15" i="3"/>
  <c r="F20" i="3"/>
  <c r="K7" i="4"/>
  <c r="I11" i="4"/>
  <c r="E10" i="4"/>
  <c r="L14" i="3"/>
  <c r="H11" i="4"/>
  <c r="D10" i="4"/>
  <c r="F10" i="4" s="1"/>
  <c r="N10" i="4" s="1"/>
  <c r="I10" i="4"/>
  <c r="G10" i="4"/>
  <c r="H10" i="4"/>
  <c r="W5" i="2"/>
  <c r="J19" i="9" l="1"/>
  <c r="J16" i="9"/>
  <c r="J20" i="9"/>
  <c r="J21" i="8"/>
  <c r="J20" i="8"/>
  <c r="J22" i="8"/>
  <c r="J15" i="9"/>
  <c r="J19" i="8"/>
  <c r="J15" i="8"/>
  <c r="J16" i="8"/>
  <c r="J18" i="9"/>
  <c r="J17" i="8"/>
  <c r="J13" i="9"/>
  <c r="J22" i="9"/>
  <c r="J18" i="8"/>
  <c r="J17" i="9"/>
  <c r="J21" i="9"/>
  <c r="J14" i="8"/>
  <c r="J14" i="9"/>
  <c r="J22" i="11"/>
  <c r="J21" i="11"/>
  <c r="J17" i="11"/>
  <c r="J18" i="11"/>
  <c r="J15" i="11"/>
  <c r="J14" i="11"/>
  <c r="J21" i="10"/>
  <c r="D6" i="8"/>
  <c r="J19" i="11"/>
  <c r="J16" i="11"/>
  <c r="D6" i="9"/>
  <c r="D6" i="11"/>
  <c r="N14" i="9"/>
  <c r="N14" i="11"/>
  <c r="N13" i="11"/>
  <c r="N14" i="8"/>
  <c r="N13" i="10"/>
  <c r="D6" i="10"/>
  <c r="F9" i="4"/>
  <c r="N9" i="4" s="1"/>
  <c r="J19" i="10"/>
  <c r="J22" i="10"/>
  <c r="J20" i="10"/>
  <c r="J17" i="10"/>
  <c r="J15" i="10"/>
  <c r="J16" i="10"/>
  <c r="J13" i="10"/>
  <c r="J14" i="10"/>
  <c r="J18" i="10"/>
  <c r="J33" i="3"/>
  <c r="J28" i="3"/>
  <c r="J32" i="3"/>
  <c r="J31" i="3"/>
  <c r="J30" i="3"/>
  <c r="J24" i="3"/>
  <c r="J26" i="3"/>
  <c r="J27" i="3"/>
  <c r="J25" i="3"/>
  <c r="J29" i="3"/>
  <c r="D13" i="3"/>
  <c r="F13" i="3" s="1"/>
  <c r="E13" i="3"/>
  <c r="E7" i="4"/>
  <c r="E14" i="3"/>
  <c r="D14" i="3"/>
  <c r="F14" i="3" s="1"/>
  <c r="L15" i="3"/>
  <c r="E18" i="3"/>
  <c r="D18" i="3"/>
  <c r="F18" i="3" s="1"/>
  <c r="E16" i="3"/>
  <c r="D16" i="3"/>
  <c r="F16" i="3" s="1"/>
  <c r="D12" i="4"/>
  <c r="F12" i="4" s="1"/>
  <c r="N12" i="4" s="1"/>
  <c r="E12" i="4"/>
  <c r="D6" i="3"/>
</calcChain>
</file>

<file path=xl/sharedStrings.xml><?xml version="1.0" encoding="utf-8"?>
<sst xmlns="http://schemas.openxmlformats.org/spreadsheetml/2006/main" count="1704" uniqueCount="151">
  <si>
    <t>Preenchimento rápido: validar MANIFESTOS para assinatura do motorista e ENTREGAS para foto + assinatura do cliente.</t>
  </si>
  <si>
    <t>Data Auditoria</t>
  </si>
  <si>
    <t>Loja</t>
  </si>
  <si>
    <t>Nº Manifesto</t>
  </si>
  <si>
    <t>Motorista</t>
  </si>
  <si>
    <t>Status SANTRI</t>
  </si>
  <si>
    <t>Assinatura Motorista?</t>
  </si>
  <si>
    <t>Foto Entrega?</t>
  </si>
  <si>
    <t>Assinatura Cliente?</t>
  </si>
  <si>
    <t>Baixado?</t>
  </si>
  <si>
    <t>Evidência Completa</t>
  </si>
  <si>
    <t>OK/NOK</t>
  </si>
  <si>
    <t>Erro Padrão</t>
  </si>
  <si>
    <t>Observação</t>
  </si>
  <si>
    <t>Auditado por</t>
  </si>
  <si>
    <t>Gerente Resp.</t>
  </si>
  <si>
    <t>Chave</t>
  </si>
  <si>
    <t>GUIA RÁPIDO</t>
  </si>
  <si>
    <t>SIM</t>
  </si>
  <si>
    <t>NÃO</t>
  </si>
  <si>
    <t>1. Abra MANIFESTOS no SANTRI.</t>
  </si>
  <si>
    <t>2. Verifique assinatura do motorista.</t>
  </si>
  <si>
    <t>3. Abra ENTREGAS &gt; Fotos.</t>
  </si>
  <si>
    <t>4. Valide foto e assinatura do cliente.</t>
  </si>
  <si>
    <t>5. Marque SIM/NÃO e o dashboard atualiza.</t>
  </si>
  <si>
    <t>TRATAMENTO — CÁLCULOS AUTOMÁTICOS</t>
  </si>
  <si>
    <t>Score Ponderado</t>
  </si>
  <si>
    <t>Erro Calculado</t>
  </si>
  <si>
    <t>Mês</t>
  </si>
  <si>
    <t>Semana</t>
  </si>
  <si>
    <t>Ano</t>
  </si>
  <si>
    <t>ISO Base</t>
  </si>
  <si>
    <t>Status Gestão</t>
  </si>
  <si>
    <t>Visão executiva + operacional: lojas, motoristas, evidências, assinatura do motorista e baixa.</t>
  </si>
  <si>
    <t>TCPE</t>
  </si>
  <si>
    <t>ISO</t>
  </si>
  <si>
    <t>% Evidência</t>
  </si>
  <si>
    <t>% Baixado</t>
  </si>
  <si>
    <t>Meta: ≥95% OK | Atenção: 85% a 94,9% | Crítico: abaixo de 85%</t>
  </si>
  <si>
    <t>RANKING POR LOJA</t>
  </si>
  <si>
    <t>RANKING POR MOTORISTA</t>
  </si>
  <si>
    <t>Auditorias</t>
  </si>
  <si>
    <t>OK</t>
  </si>
  <si>
    <t>NOK</t>
  </si>
  <si>
    <t>FALHAS IDENTIFICADAS</t>
  </si>
  <si>
    <t>STATUS SANTRI</t>
  </si>
  <si>
    <t>Erro</t>
  </si>
  <si>
    <t>Qtde</t>
  </si>
  <si>
    <t>%</t>
  </si>
  <si>
    <t>Status</t>
  </si>
  <si>
    <t>Sem assinatura</t>
  </si>
  <si>
    <t>Sem foto</t>
  </si>
  <si>
    <t>Sem foto e assinatura</t>
  </si>
  <si>
    <t>Não conferido</t>
  </si>
  <si>
    <t>Não baixado</t>
  </si>
  <si>
    <t>Cancelado</t>
  </si>
  <si>
    <t>Manifesto cancelado</t>
  </si>
  <si>
    <t>Outro</t>
  </si>
  <si>
    <t>EVOLUÇÃO MENSAL</t>
  </si>
  <si>
    <t>Total</t>
  </si>
  <si>
    <t>PAINEL PARA ESCALAR AOS GERENTES</t>
  </si>
  <si>
    <t>Use esta aba quando os gerentes começarem a auditar: mede volume, qualidade, falhas e atuação.</t>
  </si>
  <si>
    <t>Gerente</t>
  </si>
  <si>
    <t>Ação Recomendada</t>
  </si>
  <si>
    <t>POWER BI — CONEXÃO E MEDIDAS DAX</t>
  </si>
  <si>
    <t>Medida / Coluna</t>
  </si>
  <si>
    <t>DAX</t>
  </si>
  <si>
    <t>Evidencia Completa</t>
  </si>
  <si>
    <t>Evidencia Completa =
IF(
    'tblControleDiario'[Foto Entrega?] = "SIM"
        &amp;&amp; 'tblControleDiario'[Assinatura Cliente?] = "SIM",
    "SIM",
    "NÃO"
)</t>
  </si>
  <si>
    <t>Conforme</t>
  </si>
  <si>
    <t>Conforme =
IF(
    'tblControleDiario'[Assinatura Motorista?] = "SIM"
        &amp;&amp; 'tblControleDiario'[Baixado?] = "SIM"
        &amp;&amp; 'tblControleDiario'[Evidencia Completa] = "SIM",
    "OK",
    "NOK"
)</t>
  </si>
  <si>
    <t>TCPE =
DIVIDE(
    CALCULATE(COUNTROWS('tblControleDiario'), 'tblControleDiario'[Conforme] = "OK"),
    COUNTROWS('tblControleDiario')
)</t>
  </si>
  <si>
    <t>% Assinatura Motorista</t>
  </si>
  <si>
    <t>% Assinatura Motorista =
DIVIDE(
    CALCULATE(COUNTROWS('tblControleDiario'), 'tblControleDiario'[Assinatura Motorista?] = "SIM"),
    COUNTROWS('tblControleDiario')
)</t>
  </si>
  <si>
    <t>% Evidência =
DIVIDE(
    CALCULATE(COUNTROWS('tblControleDiario'), 'tblControleDiario'[Evidencia Completa] = "SIM"),
    COUNTROWS('tblControleDiario')
)</t>
  </si>
  <si>
    <t>% Baixado =
DIVIDE(
    CALCULATE(COUNTROWS('tblControleDiario'), 'tblControleDiario'[Baixado?] = "SIM"),
    COUNTROWS('tblControleDiario')
)</t>
  </si>
  <si>
    <t>ISO =
([TCPE] * 0.4)
+ ([% Assinatura Motorista] * 0.2)
+ ([% Evidência] * 0.2)
+ ([% Baixado] * 0.2)</t>
  </si>
  <si>
    <t>SIM_NAO</t>
  </si>
  <si>
    <t>LOJA</t>
  </si>
  <si>
    <t>MOTORISTA</t>
  </si>
  <si>
    <t>STATUS_ENTREGA</t>
  </si>
  <si>
    <t>ERRO_PADRAO</t>
  </si>
  <si>
    <t>GERENTE</t>
  </si>
  <si>
    <t>AUDITOR</t>
  </si>
  <si>
    <t>Qualidade</t>
  </si>
  <si>
    <t>Operação</t>
  </si>
  <si>
    <t>INSTRUÇÕES — ROTINA DE AUDITORIA</t>
  </si>
  <si>
    <t>Rotina diária recomendada</t>
  </si>
  <si>
    <t>1. Abrir o SANTRI na tela de MANIFESTOS.</t>
  </si>
  <si>
    <t>2. Para cada manifesto do dia, registrar Data, Loja, Manifesto e Motorista.</t>
  </si>
  <si>
    <t>3. Verificar se há assinatura/ciência do motorista em MANIFESTOS.</t>
  </si>
  <si>
    <t>4. Abrir a aba ENTREGAS e verificar Foto Entrega + Assinatura Cliente.</t>
  </si>
  <si>
    <t>5. Marcar SIM/NÃO nas colunas de checklist.</t>
  </si>
  <si>
    <t>6. O Excel calcula Evidência Completa, OK/NOK, Score, Ranking e Dashboard.</t>
  </si>
  <si>
    <t>7. Se houver NOK, selecionar o Erro Padrão e registrar observação se necessário.</t>
  </si>
  <si>
    <t>8. Quando passar aos gerentes, usar Gerente Resp. e Auditado por para controle.</t>
  </si>
  <si>
    <t>Critério de conformidade</t>
  </si>
  <si>
    <t>OK = Assinatura Motorista SIM + Baixado SIM + Foto Entrega SIM + Assinatura Cliente SIM.</t>
  </si>
  <si>
    <t>NOK = Qualquer um dos itens acima estiver como NÃO.</t>
  </si>
  <si>
    <t>Evidência Completa = Foto Entrega SIM + Assinatura Cliente SIM.</t>
  </si>
  <si>
    <t>Score Ponderado = Assinatura Motorista 30% + Evidência Completa 40% + Baixado 30%.</t>
  </si>
  <si>
    <t>Loja Pistão</t>
  </si>
  <si>
    <t>Loja Asa Norte</t>
  </si>
  <si>
    <t>Loja Aguas Lindas</t>
  </si>
  <si>
    <t>Loja Valparaiso</t>
  </si>
  <si>
    <t>Loja Ceilândia</t>
  </si>
  <si>
    <t>Loja ADE</t>
  </si>
  <si>
    <t>Loja Matriz</t>
  </si>
  <si>
    <t>Sérgio</t>
  </si>
  <si>
    <t>Danilo</t>
  </si>
  <si>
    <t>Cleonice</t>
  </si>
  <si>
    <t>Luciano</t>
  </si>
  <si>
    <t>Neudo</t>
  </si>
  <si>
    <t>Jusley</t>
  </si>
  <si>
    <t>João Lucas</t>
  </si>
  <si>
    <t>Entrega Total</t>
  </si>
  <si>
    <t>Retorno Total</t>
  </si>
  <si>
    <t>Entrega Parcial</t>
  </si>
  <si>
    <t>Devolução Avaria</t>
  </si>
  <si>
    <t>Loja Luziânia</t>
  </si>
  <si>
    <t>Natália</t>
  </si>
  <si>
    <t>Cinthya</t>
  </si>
  <si>
    <t>MAPA_LOJA</t>
  </si>
  <si>
    <t>MAPA_GERENTE</t>
  </si>
  <si>
    <t>J. Alessandro</t>
  </si>
  <si>
    <t>Total Auditado</t>
  </si>
  <si>
    <t>DASHBOARD — MANIFESTO ELETRÔNICO SANTRI</t>
  </si>
  <si>
    <t xml:space="preserve">CONTROLE DIÁRIO — AUDITORIA SANTRI </t>
  </si>
  <si>
    <t>Índice de Saúde Operacional</t>
  </si>
  <si>
    <t>GRÁFICOS DASHBOARD — MANIFESTO ELETRÔNICO SANTRI</t>
  </si>
  <si>
    <t>Legenda:</t>
  </si>
  <si>
    <t xml:space="preserve">*TCPE = Taxa de Conformidade do Processo de Entrega </t>
  </si>
  <si>
    <t>* TCPE = Taxa de Conformidade do Processo de Entrega</t>
  </si>
  <si>
    <t>Foto preta.</t>
  </si>
  <si>
    <t>Manifestos cancelados</t>
  </si>
  <si>
    <t>Wederson C.</t>
  </si>
  <si>
    <t>Manifesto não entregue pelo app</t>
  </si>
  <si>
    <t>Fora APP</t>
  </si>
  <si>
    <t>Aberto</t>
  </si>
  <si>
    <t>Sem foto produtos</t>
  </si>
  <si>
    <t>Sem foto fachada</t>
  </si>
  <si>
    <t>Sem fotos e assinatura</t>
  </si>
  <si>
    <t>Sem nenhuma foto</t>
  </si>
  <si>
    <t>Taxa de Conformidade do Processo de Entrega (OK)</t>
  </si>
  <si>
    <t>Taxa de Conformidade do Processo de Entrega (% NOK)</t>
  </si>
  <si>
    <t>PEDIDOS 100% OK (SEM NENHUMA FALHA)</t>
  </si>
  <si>
    <t>DASHBOARD ADE — MANIFESTO ELETRÔNICO SANTRI</t>
  </si>
  <si>
    <t>DASHBOARD PISTÃO — MANIFESTO ELETRÔNICO SANTRI</t>
  </si>
  <si>
    <t>DASHBOARD ASA NORTE — MANIFESTO ELETRÔNICO SANTRI</t>
  </si>
  <si>
    <t>DASHBOARD VALPARAISO — MANIFESTO ELETRÔNICO SANTRI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</si>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</sst>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m\,\ yyyy;@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9"/>
      <color rgb="FFFFFFFF"/>
      <name val="Calibri"/>
    </font>
    <font>
      <b/>
      <sz val="14"/>
      <color rgb="FF1F4E78"/>
      <name val="Calibri"/>
    </font>
    <font>
      <sz val="8"/>
      <name val="Calibri"/>
      <family val="2"/>
      <scheme val="minor"/>
    </font>
    <font>
      <b/>
      <sz val="18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FFFF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rgb="FFFFFFFF"/>
      <name val="Calibri"/>
    </font>
    <font>
      <b/>
      <i/>
      <sz val="11"/>
      <color theme="1"/>
      <name val="Calibri"/>
    </font>
    <font>
      <b/>
      <sz val="11"/>
      <color rgb="FFFF0000"/>
      <name val="Calibri"/>
      <family val="2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0F6B78"/>
      </patternFill>
    </fill>
    <fill>
      <patternFill patternType="solid">
        <fgColor rgb="FFEAF4FB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9D9D9"/>
      </bottom>
      <diagonal/>
    </border>
    <border>
      <left/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/>
    <xf numFmtId="14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/>
    <xf numFmtId="0" fontId="0" fillId="0" borderId="6" xfId="0" applyBorder="1"/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1" fillId="4" borderId="1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2" xfId="0" applyBorder="1" applyAlignment="1">
      <alignment horizontal="left" vertical="center"/>
    </xf>
    <xf numFmtId="164" fontId="0" fillId="0" borderId="14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/>
    <xf numFmtId="0" fontId="0" fillId="0" borderId="8" xfId="0" applyBorder="1"/>
    <xf numFmtId="0" fontId="0" fillId="0" borderId="9" xfId="0" applyBorder="1"/>
    <xf numFmtId="0" fontId="1" fillId="4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8" xfId="0" applyBorder="1"/>
    <xf numFmtId="0" fontId="0" fillId="0" borderId="0" xfId="0" applyBorder="1"/>
    <xf numFmtId="0" fontId="0" fillId="0" borderId="0" xfId="0"/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12" fillId="0" borderId="0" xfId="0" applyFont="1" applyBorder="1"/>
    <xf numFmtId="165" fontId="0" fillId="0" borderId="12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0" fillId="0" borderId="29" xfId="0" applyBorder="1"/>
    <xf numFmtId="0" fontId="1" fillId="4" borderId="30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4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0" fontId="0" fillId="0" borderId="33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3" fillId="8" borderId="11" xfId="0" applyFont="1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11" xfId="0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0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0" fontId="0" fillId="0" borderId="35" xfId="1" applyNumberFormat="1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16" xfId="0" applyFill="1" applyBorder="1" applyAlignment="1">
      <alignment vertical="center"/>
    </xf>
    <xf numFmtId="0" fontId="0" fillId="8" borderId="17" xfId="0" applyFill="1" applyBorder="1" applyAlignment="1">
      <alignment vertical="center"/>
    </xf>
    <xf numFmtId="0" fontId="7" fillId="2" borderId="2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0" fontId="0" fillId="0" borderId="0" xfId="0" applyNumberFormat="1" applyBorder="1"/>
    <xf numFmtId="1" fontId="4" fillId="4" borderId="0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0" fontId="4" fillId="4" borderId="12" xfId="0" applyNumberFormat="1" applyFont="1" applyFill="1" applyBorder="1" applyAlignment="1">
      <alignment horizontal="center" vertical="center"/>
    </xf>
    <xf numFmtId="10" fontId="0" fillId="0" borderId="10" xfId="0" applyNumberFormat="1" applyBorder="1"/>
    <xf numFmtId="0" fontId="1" fillId="2" borderId="2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" fontId="4" fillId="4" borderId="0" xfId="0" applyNumberFormat="1" applyFont="1" applyFill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10" xfId="0" applyNumberFormat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3" fillId="0" borderId="1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30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D9D9D9"/>
        </left>
      </border>
    </dxf>
    <dxf>
      <numFmt numFmtId="0" formatCode="General"/>
      <alignment horizontal="general" vertical="center" textRotation="0" wrapText="0" indent="0" justifyLastLine="0" shrinkToFit="0" readingOrder="0"/>
    </dxf>
    <dxf>
      <border outline="0">
        <right style="thin">
          <color rgb="FFD9D9D9"/>
        </right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19" formatCode="dd/mm/yyyy"/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TCPE por Loja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719841269841271E-2"/>
          <c:y val="0.13229166666666667"/>
          <c:w val="0.883560119047619"/>
          <c:h val="0.7081499999999999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'DASHBOARD GERAL'!$F$12</c:f>
              <c:strCache>
                <c:ptCount val="1"/>
                <c:pt idx="0">
                  <c:v>TCPE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48-4B52-963D-74A02139AE4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48-4B52-963D-74A02139AE4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48-4B52-963D-74A02139AE4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48-4B52-963D-74A02139AE4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948-4B52-963D-74A02139AE42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948-4B52-963D-74A02139AE42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948-4B52-963D-74A02139AE42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948-4B52-963D-74A02139AE42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948-4B52-963D-74A02139AE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GERAL'!$B$13:$B$21</c:f>
              <c:strCache>
                <c:ptCount val="8"/>
                <c:pt idx="0">
                  <c:v>Loja Pistão</c:v>
                </c:pt>
                <c:pt idx="1">
                  <c:v>Loja Asa Norte</c:v>
                </c:pt>
                <c:pt idx="2">
                  <c:v>Loja Aguas Lindas</c:v>
                </c:pt>
                <c:pt idx="3">
                  <c:v>Loja Valparaiso</c:v>
                </c:pt>
                <c:pt idx="4">
                  <c:v>Loja Ceilândia</c:v>
                </c:pt>
                <c:pt idx="5">
                  <c:v>Loja ADE</c:v>
                </c:pt>
                <c:pt idx="6">
                  <c:v>Loja Matriz</c:v>
                </c:pt>
                <c:pt idx="7">
                  <c:v>Loja Luziânia</c:v>
                </c:pt>
              </c:strCache>
            </c:strRef>
          </c:cat>
          <c:val>
            <c:numRef>
              <c:f>'DASHBOARD GERAL'!$F$13:$F$21</c:f>
              <c:numCache>
                <c:formatCode>0.0%</c:formatCode>
                <c:ptCount val="9"/>
                <c:pt idx="0">
                  <c:v>0.70454545454545459</c:v>
                </c:pt>
                <c:pt idx="1">
                  <c:v>0</c:v>
                </c:pt>
                <c:pt idx="2">
                  <c:v>0</c:v>
                </c:pt>
                <c:pt idx="3">
                  <c:v>0.75609756097560976</c:v>
                </c:pt>
                <c:pt idx="4">
                  <c:v>0</c:v>
                </c:pt>
                <c:pt idx="5">
                  <c:v>0.65789473684210531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634-9A61-47EAEC33CA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1"/>
  </c:chart>
  <c:spPr>
    <a:solidFill>
      <a:schemeClr val="bg1">
        <a:lumMod val="9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TCPE por Motorista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241468253968255E-2"/>
          <c:y val="0.14993055555555557"/>
          <c:w val="0.89363948412698413"/>
          <c:h val="0.690511111111111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'DASHBOARD GERAL'!$L$12</c:f>
              <c:strCache>
                <c:ptCount val="1"/>
                <c:pt idx="0">
                  <c:v>TCPE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7E-4943-8778-0532B72F34E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7E-4943-8778-0532B72F34E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7E-4943-8778-0532B72F34EF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7E-4943-8778-0532B72F34EF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7E-4943-8778-0532B72F34EF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7E-4943-8778-0532B72F34EF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A7E-4943-8778-0532B72F34EF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A7E-4943-8778-0532B72F34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GERAL'!$H$13:$H$20</c:f>
              <c:strCache>
                <c:ptCount val="8"/>
                <c:pt idx="0">
                  <c:v>João Lucas</c:v>
                </c:pt>
                <c:pt idx="1">
                  <c:v>Jusley</c:v>
                </c:pt>
                <c:pt idx="2">
                  <c:v>J. Alessandro</c:v>
                </c:pt>
                <c:pt idx="3">
                  <c:v>Wederson C.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'DASHBOARD GERAL'!$L$13:$L$20</c:f>
              <c:numCache>
                <c:formatCode>0.0%</c:formatCode>
                <c:ptCount val="8"/>
                <c:pt idx="0">
                  <c:v>0.68292682926829273</c:v>
                </c:pt>
                <c:pt idx="1">
                  <c:v>0</c:v>
                </c:pt>
                <c:pt idx="2">
                  <c:v>0</c:v>
                </c:pt>
                <c:pt idx="3">
                  <c:v>0.77500000000000002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C-44E5-8D37-412A252274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1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Falhas Identificadas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255555555555562E-2"/>
          <c:y val="0.14993055555555557"/>
          <c:w val="0.89735793650793649"/>
          <c:h val="0.576798611111111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'DASHBOARD GERAL'!$I$23</c:f>
              <c:strCache>
                <c:ptCount val="1"/>
                <c:pt idx="0">
                  <c:v>Qtde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4-4B17-BA2E-E89E442C795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4-4B17-BA2E-E89E442C795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4-4B17-BA2E-E89E442C795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4-4B17-BA2E-E89E442C7954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AD4-4B17-BA2E-E89E442C7954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AD4-4B17-BA2E-E89E442C7954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AD4-4B17-BA2E-E89E442C7954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641-487B-9AB4-333168F2BEF4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4C4-4029-91B9-C0280D9B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GERAL'!$H$24:$H$32</c:f>
              <c:strCache>
                <c:ptCount val="9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</c:strCache>
            </c:strRef>
          </c:cat>
          <c:val>
            <c:numRef>
              <c:f>'DASHBOARD GERAL'!$I$24:$I$32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9-45B5-A418-BFF512D495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1"/>
  </c:chart>
  <c:spPr>
    <a:solidFill>
      <a:schemeClr val="bg1">
        <a:lumMod val="9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Status SANTRI</a:t>
            </a:r>
          </a:p>
        </c:rich>
      </c:tx>
      <c:layout>
        <c:manualLayout>
          <c:xMode val="edge"/>
          <c:yMode val="edge"/>
          <c:x val="0.39188757655293088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GERAL'!$O$12</c:f>
              <c:strCache>
                <c:ptCount val="1"/>
                <c:pt idx="0">
                  <c:v>Qtde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8-4F88-8171-CC774C51D0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E8-4F88-8171-CC774C51D0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8-4F88-8171-CC774C51D0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E8-4F88-8171-CC774C51D0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E8-4F88-8171-CC774C51D0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F9-4F47-948D-02FF2D12914D}"/>
              </c:ext>
            </c:extLst>
          </c:dPt>
          <c:dLbls>
            <c:dLbl>
              <c:idx val="0"/>
              <c:layout>
                <c:manualLayout>
                  <c:x val="-0.61089833472594279"/>
                  <c:y val="-0.62725729166666666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8-4F88-8171-CC774C51D037}"/>
                </c:ext>
              </c:extLst>
            </c:dLbl>
            <c:dLbl>
              <c:idx val="1"/>
              <c:layout>
                <c:manualLayout>
                  <c:x val="-9.9664459111097128E-2"/>
                  <c:y val="0.44207465277777769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8-4F88-8171-CC774C51D037}"/>
                </c:ext>
              </c:extLst>
            </c:dLbl>
            <c:dLbl>
              <c:idx val="2"/>
              <c:layout>
                <c:manualLayout>
                  <c:x val="-9.1264698115814863E-2"/>
                  <c:y val="0.34947048611111109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8-4F88-8171-CC774C51D037}"/>
                </c:ext>
              </c:extLst>
            </c:dLbl>
            <c:dLbl>
              <c:idx val="3"/>
              <c:layout>
                <c:manualLayout>
                  <c:x val="-0.22967012646146504"/>
                  <c:y val="0.60082465277777775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8-4F88-8171-CC774C51D037}"/>
                </c:ext>
              </c:extLst>
            </c:dLbl>
            <c:dLbl>
              <c:idx val="4"/>
              <c:layout>
                <c:manualLayout>
                  <c:x val="-0.13667442137914579"/>
                  <c:y val="0.34947048611111109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8-4F88-8171-CC774C51D037}"/>
                </c:ext>
              </c:extLst>
            </c:dLbl>
            <c:dLbl>
              <c:idx val="5"/>
              <c:layout>
                <c:manualLayout>
                  <c:x val="-0.36165294679074206"/>
                  <c:y val="0.29261840277777779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7F9-4F47-948D-02FF2D1291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1"/>
            <c:showVal val="0"/>
            <c:showCatName val="1"/>
            <c:showSerName val="0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'DASHBOARD GERAL'!$N$13:$N$18</c:f>
              <c:strCache>
                <c:ptCount val="6"/>
                <c:pt idx="0">
                  <c:v>Entrega Total</c:v>
                </c:pt>
                <c:pt idx="1">
                  <c:v>Retorno Total</c:v>
                </c:pt>
                <c:pt idx="2">
                  <c:v>Entrega Parcial</c:v>
                </c:pt>
                <c:pt idx="3">
                  <c:v>Aberto</c:v>
                </c:pt>
                <c:pt idx="4">
                  <c:v>Devolução Avaria</c:v>
                </c:pt>
                <c:pt idx="5">
                  <c:v>Cancelado</c:v>
                </c:pt>
              </c:strCache>
            </c:strRef>
          </c:cat>
          <c:val>
            <c:numRef>
              <c:f>'DASHBOARD GERAL'!$O$13:$O$18</c:f>
              <c:numCache>
                <c:formatCode>General</c:formatCode>
                <c:ptCount val="6"/>
                <c:pt idx="0">
                  <c:v>130</c:v>
                </c:pt>
                <c:pt idx="1">
                  <c:v>1</c:v>
                </c:pt>
                <c:pt idx="2">
                  <c:v>0</c:v>
                </c:pt>
                <c:pt idx="3">
                  <c:v>15</c:v>
                </c:pt>
                <c:pt idx="4">
                  <c:v>0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8-44BE-8DD1-8FF010DACD0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>
        <a:lumMod val="9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Evolução TCPE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GERAL'!$F$23</c:f>
              <c:strCache>
                <c:ptCount val="1"/>
                <c:pt idx="0">
                  <c:v>TCPE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42-46C4-BFA5-352345E7310E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42-46C4-BFA5-352345E7310E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42-46C4-BFA5-352345E7310E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42-46C4-BFA5-352345E7310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42-46C4-BFA5-352345E7310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42-46C4-BFA5-352345E7310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42-46C4-BFA5-352345E7310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42-46C4-BFA5-352345E7310E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F236-4894-BFF4-A8BCDC7B6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'DASHBOARD GERAL'!$B$24:$B$32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GERAL'!$F$24:$F$32</c:f>
              <c:numCache>
                <c:formatCode>0.0%</c:formatCode>
                <c:ptCount val="9"/>
                <c:pt idx="0">
                  <c:v>0.75</c:v>
                </c:pt>
                <c:pt idx="1">
                  <c:v>0.53642384105960261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58-4A26-B378-2412E2C10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m\,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FALHAS</a:t>
            </a:r>
            <a:r>
              <a:rPr lang="pt-BR" b="1" baseline="0"/>
              <a:t> IDENTIFICADAS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ADE'!$H$13:$H$22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ADE'!$I$13:$I$22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4-42F3-9705-5535D29E72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E1F-4C61-8A6D-FA680E526A9E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E1F-4C61-8A6D-FA680E526A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ADE'!$H$13:$H$22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ADE'!$J$13:$J$22</c:f>
              <c:numCache>
                <c:formatCode>0.0%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4-42F3-9705-5535D29E72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5240896"/>
        <c:axId val="865245056"/>
      </c:barChart>
      <c:catAx>
        <c:axId val="86524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5245056"/>
        <c:crosses val="autoZero"/>
        <c:auto val="1"/>
        <c:lblAlgn val="ctr"/>
        <c:lblOffset val="100"/>
        <c:noMultiLvlLbl val="0"/>
      </c:catAx>
      <c:valAx>
        <c:axId val="8652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52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EVOLUÇÃO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ADE'!$C$12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 ADE'!$B$13:$B$21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ADE'!$C$13:$C$21</c:f>
              <c:numCache>
                <c:formatCode>General</c:formatCode>
                <c:ptCount val="9"/>
                <c:pt idx="0">
                  <c:v>8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99-41AB-A784-464CEEAA1BD2}"/>
            </c:ext>
          </c:extLst>
        </c:ser>
        <c:ser>
          <c:idx val="1"/>
          <c:order val="1"/>
          <c:tx>
            <c:strRef>
              <c:f>'DASHBOARD ADE'!$D$12</c:f>
              <c:strCache>
                <c:ptCount val="1"/>
                <c:pt idx="0">
                  <c:v>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 ADE'!$B$13:$B$21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ADE'!$D$13:$D$21</c:f>
              <c:numCache>
                <c:formatCode>General</c:formatCode>
                <c:ptCount val="9"/>
                <c:pt idx="0">
                  <c:v>6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99-41AB-A784-464CEEAA1BD2}"/>
            </c:ext>
          </c:extLst>
        </c:ser>
        <c:ser>
          <c:idx val="2"/>
          <c:order val="2"/>
          <c:tx>
            <c:strRef>
              <c:f>'DASHBOARD ADE'!$E$12</c:f>
              <c:strCache>
                <c:ptCount val="1"/>
                <c:pt idx="0">
                  <c:v>NOK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 ADE'!$B$13:$B$21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ADE'!$E$13:$E$21</c:f>
              <c:numCache>
                <c:formatCode>General</c:formatCode>
                <c:ptCount val="9"/>
                <c:pt idx="0">
                  <c:v>2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99-41AB-A784-464CEEAA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040393376"/>
        <c:axId val="1040395456"/>
      </c:lineChart>
      <c:dateAx>
        <c:axId val="104039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,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5456"/>
        <c:crosses val="autoZero"/>
        <c:auto val="1"/>
        <c:lblOffset val="100"/>
        <c:baseTimeUnit val="months"/>
      </c:dateAx>
      <c:valAx>
        <c:axId val="10403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EVOLUÇÃO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PIS'!$C$12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 PIS'!$B$13:$B$21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PIS'!$C$13:$C$21</c:f>
              <c:numCache>
                <c:formatCode>General</c:formatCode>
                <c:ptCount val="9"/>
                <c:pt idx="0">
                  <c:v>0</c:v>
                </c:pt>
                <c:pt idx="1">
                  <c:v>44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A-45B2-9FA0-3049B6B298AC}"/>
            </c:ext>
          </c:extLst>
        </c:ser>
        <c:ser>
          <c:idx val="1"/>
          <c:order val="1"/>
          <c:tx>
            <c:strRef>
              <c:f>'DASHBOARD PIS'!$D$12</c:f>
              <c:strCache>
                <c:ptCount val="1"/>
                <c:pt idx="0">
                  <c:v>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 PIS'!$B$13:$B$21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PIS'!$D$13:$D$21</c:f>
              <c:numCache>
                <c:formatCode>General</c:formatCode>
                <c:ptCount val="9"/>
                <c:pt idx="0">
                  <c:v>0</c:v>
                </c:pt>
                <c:pt idx="1">
                  <c:v>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A-45B2-9FA0-3049B6B298AC}"/>
            </c:ext>
          </c:extLst>
        </c:ser>
        <c:ser>
          <c:idx val="2"/>
          <c:order val="2"/>
          <c:tx>
            <c:strRef>
              <c:f>'DASHBOARD PIS'!$E$12</c:f>
              <c:strCache>
                <c:ptCount val="1"/>
                <c:pt idx="0">
                  <c:v>NOK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 PIS'!$B$13:$B$21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PIS'!$E$13:$E$21</c:f>
              <c:numCache>
                <c:formatCode>General</c:formatCode>
                <c:ptCount val="9"/>
                <c:pt idx="0">
                  <c:v>0</c:v>
                </c:pt>
                <c:pt idx="1">
                  <c:v>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A-45B2-9FA0-3049B6B29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040393376"/>
        <c:axId val="1040395456"/>
      </c:lineChart>
      <c:dateAx>
        <c:axId val="104039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,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5456"/>
        <c:crosses val="autoZero"/>
        <c:auto val="1"/>
        <c:lblOffset val="100"/>
        <c:baseTimeUnit val="months"/>
      </c:dateAx>
      <c:valAx>
        <c:axId val="10403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FALHAS IDENTIFICADAS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PIS'!$I$12</c:f>
              <c:strCache>
                <c:ptCount val="1"/>
                <c:pt idx="0">
                  <c:v>Qtde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PIS'!$H$13:$H$22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PIS'!$I$13:$I$22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F-4A9A-A0CF-151070DEA34F}"/>
            </c:ext>
          </c:extLst>
        </c:ser>
        <c:ser>
          <c:idx val="1"/>
          <c:order val="1"/>
          <c:tx>
            <c:strRef>
              <c:f>'DASHBOARD PIS'!$J$12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PIS'!$H$13:$H$22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PIS'!$J$13:$J$22</c:f>
              <c:numCache>
                <c:formatCode>0.0%</c:formatCode>
                <c:ptCount val="10"/>
                <c:pt idx="0">
                  <c:v>0</c:v>
                </c:pt>
                <c:pt idx="1">
                  <c:v>6.25E-2</c:v>
                </c:pt>
                <c:pt idx="2">
                  <c:v>0.6875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0.1875</c:v>
                </c:pt>
                <c:pt idx="8">
                  <c:v>6.25E-2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F-4A9A-A0CF-151070DEA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831104"/>
        <c:axId val="1211832768"/>
      </c:barChart>
      <c:catAx>
        <c:axId val="121183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832768"/>
        <c:crosses val="autoZero"/>
        <c:auto val="1"/>
        <c:lblAlgn val="ctr"/>
        <c:lblOffset val="100"/>
        <c:noMultiLvlLbl val="0"/>
      </c:catAx>
      <c:valAx>
        <c:axId val="12118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8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EVOLUÇÃO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ASA'!$C$12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 ASA'!$B$13:$B$21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ASA'!$C$13:$C$21</c:f>
              <c:numCache>
                <c:formatCode>General</c:formatCode>
                <c:ptCount val="9"/>
                <c:pt idx="0">
                  <c:v>0</c:v>
                </c:pt>
                <c:pt idx="1">
                  <c:v>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6-4883-BCD8-488C7832FF5E}"/>
            </c:ext>
          </c:extLst>
        </c:ser>
        <c:ser>
          <c:idx val="1"/>
          <c:order val="1"/>
          <c:tx>
            <c:strRef>
              <c:f>'DASHBOARD ASA'!$D$12</c:f>
              <c:strCache>
                <c:ptCount val="1"/>
                <c:pt idx="0">
                  <c:v>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 ASA'!$B$13:$B$21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ASA'!$D$13:$D$21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6-4883-BCD8-488C7832FF5E}"/>
            </c:ext>
          </c:extLst>
        </c:ser>
        <c:ser>
          <c:idx val="2"/>
          <c:order val="2"/>
          <c:tx>
            <c:strRef>
              <c:f>'DASHBOARD ASA'!$E$12</c:f>
              <c:strCache>
                <c:ptCount val="1"/>
                <c:pt idx="0">
                  <c:v>NOK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 ASA'!$B$13:$B$21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ASA'!$E$13:$E$21</c:f>
              <c:numCache>
                <c:formatCode>General</c:formatCode>
                <c:ptCount val="9"/>
                <c:pt idx="0">
                  <c:v>0</c:v>
                </c:pt>
                <c:pt idx="1">
                  <c:v>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6-4883-BCD8-488C7832F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040393376"/>
        <c:axId val="1040395456"/>
      </c:lineChart>
      <c:dateAx>
        <c:axId val="104039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,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5456"/>
        <c:crosses val="autoZero"/>
        <c:auto val="1"/>
        <c:lblOffset val="100"/>
        <c:baseTimeUnit val="months"/>
      </c:dateAx>
      <c:valAx>
        <c:axId val="10403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FALHAS IDENTIFICADAS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ASA'!$I$12</c:f>
              <c:strCache>
                <c:ptCount val="1"/>
                <c:pt idx="0">
                  <c:v>Qtde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ASA'!$H$13:$H$22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ASA'!$I$13:$I$22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</c:v>
                </c:pt>
                <c:pt idx="8">
                  <c:v>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3-40D1-B4C1-8EC8A09F3410}"/>
            </c:ext>
          </c:extLst>
        </c:ser>
        <c:ser>
          <c:idx val="1"/>
          <c:order val="1"/>
          <c:tx>
            <c:strRef>
              <c:f>'DASHBOARD ASA'!$J$12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ASA'!$H$13:$H$22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ASA'!$J$13:$J$22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0.72727272727272729</c:v>
                </c:pt>
                <c:pt idx="8">
                  <c:v>0.27272727272727271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3-40D1-B4C1-8EC8A09F34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831104"/>
        <c:axId val="1211832768"/>
      </c:barChart>
      <c:catAx>
        <c:axId val="121183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832768"/>
        <c:crosses val="autoZero"/>
        <c:auto val="1"/>
        <c:lblAlgn val="ctr"/>
        <c:lblOffset val="100"/>
        <c:noMultiLvlLbl val="0"/>
      </c:catAx>
      <c:valAx>
        <c:axId val="12118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8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FALHAS IDENTIFICADAS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VAL'!$I$12</c:f>
              <c:strCache>
                <c:ptCount val="1"/>
                <c:pt idx="0">
                  <c:v>Qtde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VAL'!$H$13:$H$22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VAL'!$I$13:$I$22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3-4839-80C8-BC48BC02936C}"/>
            </c:ext>
          </c:extLst>
        </c:ser>
        <c:ser>
          <c:idx val="1"/>
          <c:order val="1"/>
          <c:tx>
            <c:strRef>
              <c:f>'DASHBOARD VAL'!$J$12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VAL'!$H$13:$H$22</c:f>
              <c:strCache>
                <c:ptCount val="10"/>
                <c:pt idx="0">
                  <c:v>Sem assinatura</c:v>
                </c:pt>
                <c:pt idx="1">
                  <c:v>Sem nenhuma foto</c:v>
                </c:pt>
                <c:pt idx="2">
                  <c:v>Sem foto fachada</c:v>
                </c:pt>
                <c:pt idx="3">
                  <c:v>Sem foto produtos</c:v>
                </c:pt>
                <c:pt idx="4">
                  <c:v>Sem fotos e assinatura</c:v>
                </c:pt>
                <c:pt idx="5">
                  <c:v>Não conferido</c:v>
                </c:pt>
                <c:pt idx="6">
                  <c:v>Não baixado</c:v>
                </c:pt>
                <c:pt idx="7">
                  <c:v>Fora APP</c:v>
                </c:pt>
                <c:pt idx="8">
                  <c:v>Manifesto cancelado</c:v>
                </c:pt>
                <c:pt idx="9">
                  <c:v>Outro</c:v>
                </c:pt>
              </c:strCache>
            </c:strRef>
          </c:cat>
          <c:val>
            <c:numRef>
              <c:f>'DASHBOARD VAL'!$J$13:$J$22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0.75609756097560976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0.1951219512195122</c:v>
                </c:pt>
                <c:pt idx="8">
                  <c:v>4.878048780487805E-2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3-4839-80C8-BC48BC0293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831104"/>
        <c:axId val="1211832768"/>
      </c:barChart>
      <c:catAx>
        <c:axId val="121183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832768"/>
        <c:crosses val="autoZero"/>
        <c:auto val="1"/>
        <c:lblAlgn val="ctr"/>
        <c:lblOffset val="100"/>
        <c:noMultiLvlLbl val="0"/>
      </c:catAx>
      <c:valAx>
        <c:axId val="12118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8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EVOLUÇÃO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VAL'!$C$12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 VAL'!$B$13:$B$21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VAL'!$C$13:$C$21</c:f>
              <c:numCache>
                <c:formatCode>General</c:formatCode>
                <c:ptCount val="9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5-4F12-A337-7EA62FAA105F}"/>
            </c:ext>
          </c:extLst>
        </c:ser>
        <c:ser>
          <c:idx val="1"/>
          <c:order val="1"/>
          <c:tx>
            <c:strRef>
              <c:f>'DASHBOARD VAL'!$D$12</c:f>
              <c:strCache>
                <c:ptCount val="1"/>
                <c:pt idx="0">
                  <c:v>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 VAL'!$B$13:$B$21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VAL'!$D$13:$D$21</c:f>
              <c:numCache>
                <c:formatCode>General</c:formatCode>
                <c:ptCount val="9"/>
                <c:pt idx="0">
                  <c:v>0</c:v>
                </c:pt>
                <c:pt idx="1">
                  <c:v>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5-4F12-A337-7EA62FAA105F}"/>
            </c:ext>
          </c:extLst>
        </c:ser>
        <c:ser>
          <c:idx val="2"/>
          <c:order val="2"/>
          <c:tx>
            <c:strRef>
              <c:f>'DASHBOARD VAL'!$E$12</c:f>
              <c:strCache>
                <c:ptCount val="1"/>
                <c:pt idx="0">
                  <c:v>NOK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 VAL'!$B$13:$B$21</c:f>
              <c:numCache>
                <c:formatCode>mmmm\,\ yyyy;@</c:formatCode>
                <c:ptCount val="9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</c:numCache>
            </c:numRef>
          </c:cat>
          <c:val>
            <c:numRef>
              <c:f>'DASHBOARD VAL'!$E$13:$E$21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5-4F12-A337-7EA62FAA1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040393376"/>
        <c:axId val="1040395456"/>
      </c:lineChart>
      <c:dateAx>
        <c:axId val="104039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,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5456"/>
        <c:crosses val="autoZero"/>
        <c:auto val="1"/>
        <c:lblOffset val="100"/>
        <c:baseTimeUnit val="months"/>
      </c:dateAx>
      <c:valAx>
        <c:axId val="10403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3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TCPE por Gerente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9146825396825"/>
          <c:y val="0.12788194444444445"/>
          <c:w val="0.73638749999999997"/>
          <c:h val="0.778639583333333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GERENTES!$F$6</c:f>
              <c:strCache>
                <c:ptCount val="1"/>
                <c:pt idx="0">
                  <c:v>TCPE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6D-4252-9E2F-7C86AFD18EB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6D-4252-9E2F-7C86AFD18EB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6D-4252-9E2F-7C86AFD18EBC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6D-4252-9E2F-7C86AFD18EBC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56D-4252-9E2F-7C86AFD18EBC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19-48DA-AECB-9F4BC5A1391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19-48DA-AECB-9F4BC5A139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GERENTES!$B$7:$B$13</c:f>
              <c:strCache>
                <c:ptCount val="7"/>
                <c:pt idx="0">
                  <c:v>Cinthya</c:v>
                </c:pt>
                <c:pt idx="1">
                  <c:v>Danilo</c:v>
                </c:pt>
                <c:pt idx="2">
                  <c:v>Neudo</c:v>
                </c:pt>
                <c:pt idx="3">
                  <c:v>Natália</c:v>
                </c:pt>
                <c:pt idx="4">
                  <c:v>Luciano</c:v>
                </c:pt>
                <c:pt idx="5">
                  <c:v>Cleonice</c:v>
                </c:pt>
                <c:pt idx="6">
                  <c:v>Sérgio</c:v>
                </c:pt>
              </c:strCache>
            </c:strRef>
          </c:cat>
          <c:val>
            <c:numRef>
              <c:f>GERENTES!$F$7:$F$13</c:f>
              <c:numCache>
                <c:formatCode>0.0%</c:formatCode>
                <c:ptCount val="7"/>
                <c:pt idx="0">
                  <c:v>0.70454545454545459</c:v>
                </c:pt>
                <c:pt idx="1">
                  <c:v>0.65789473684210531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0.75609756097560976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F-4B08-A689-C56F1D0D7B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>
        <a:lumMod val="9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550448</xdr:colOff>
      <xdr:row>3</xdr:row>
      <xdr:rowOff>185138</xdr:rowOff>
    </xdr:from>
    <xdr:ext cx="5114858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246530</xdr:colOff>
      <xdr:row>3</xdr:row>
      <xdr:rowOff>186819</xdr:rowOff>
    </xdr:from>
    <xdr:ext cx="5020235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230041</xdr:colOff>
      <xdr:row>14</xdr:row>
      <xdr:rowOff>177295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549087</xdr:colOff>
      <xdr:row>14</xdr:row>
      <xdr:rowOff>185138</xdr:rowOff>
    </xdr:from>
    <xdr:ext cx="5116217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33</xdr:col>
      <xdr:colOff>314739</xdr:colOff>
      <xdr:row>3</xdr:row>
      <xdr:rowOff>180096</xdr:rowOff>
    </xdr:from>
    <xdr:ext cx="5951272" cy="5882286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433387</xdr:colOff>
      <xdr:row>3</xdr:row>
      <xdr:rowOff>109538</xdr:rowOff>
    </xdr:from>
    <xdr:to>
      <xdr:col>26</xdr:col>
      <xdr:colOff>323850</xdr:colOff>
      <xdr:row>12</xdr:row>
      <xdr:rowOff>57151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67CE71-42B6-41BA-8F9E-1FF5B3D2A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439830</xdr:colOff>
      <xdr:row>12</xdr:row>
      <xdr:rowOff>165566</xdr:rowOff>
    </xdr:from>
    <xdr:to>
      <xdr:col>26</xdr:col>
      <xdr:colOff>325531</xdr:colOff>
      <xdr:row>22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6EF69B-46D9-43DC-A2B7-36D1E9C6B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439830</xdr:colOff>
      <xdr:row>12</xdr:row>
      <xdr:rowOff>165566</xdr:rowOff>
    </xdr:from>
    <xdr:to>
      <xdr:col>26</xdr:col>
      <xdr:colOff>325531</xdr:colOff>
      <xdr:row>22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CAE372-8F0E-4B9E-945A-F93F571F3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428624</xdr:colOff>
      <xdr:row>3</xdr:row>
      <xdr:rowOff>95250</xdr:rowOff>
    </xdr:from>
    <xdr:to>
      <xdr:col>26</xdr:col>
      <xdr:colOff>323850</xdr:colOff>
      <xdr:row>12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66B4BB-BEDE-4FC8-AC0D-479E07319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439830</xdr:colOff>
      <xdr:row>12</xdr:row>
      <xdr:rowOff>165566</xdr:rowOff>
    </xdr:from>
    <xdr:to>
      <xdr:col>26</xdr:col>
      <xdr:colOff>325531</xdr:colOff>
      <xdr:row>22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D3EE3F-20F3-4AE3-A0C8-D9EE8A1C4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428624</xdr:colOff>
      <xdr:row>3</xdr:row>
      <xdr:rowOff>95250</xdr:rowOff>
    </xdr:from>
    <xdr:to>
      <xdr:col>26</xdr:col>
      <xdr:colOff>323850</xdr:colOff>
      <xdr:row>12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7D34B6-9151-4D6F-87F8-E20D025B1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438150</xdr:colOff>
      <xdr:row>3</xdr:row>
      <xdr:rowOff>76200</xdr:rowOff>
    </xdr:from>
    <xdr:to>
      <xdr:col>26</xdr:col>
      <xdr:colOff>333376</xdr:colOff>
      <xdr:row>12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F57333B-E309-4DC7-BC60-E07B7508B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438150</xdr:colOff>
      <xdr:row>12</xdr:row>
      <xdr:rowOff>171450</xdr:rowOff>
    </xdr:from>
    <xdr:to>
      <xdr:col>26</xdr:col>
      <xdr:colOff>323851</xdr:colOff>
      <xdr:row>22</xdr:row>
      <xdr:rowOff>34459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54214C-2D39-45A6-BB2E-0A58FF829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13</xdr:row>
      <xdr:rowOff>142875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401CA-CC18-4707-8983-DE1B44D3C16B}" name="tblLojaGerente" displayName="tblLojaGerente" ref="O1:P9">
  <autoFilter ref="O1:P9" xr:uid="{2F4401CA-CC18-4707-8983-DE1B44D3C16B}"/>
  <tableColumns count="2">
    <tableColumn id="15" xr3:uid="{BB7B0956-399A-4815-A163-1BAA7C36D1DC}" name="MAPA_LOJA"/>
    <tableColumn id="16" xr3:uid="{12B71E87-AFB8-4EB3-9A8D-62C023820065}" name="MAPA_GER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Tratamento" displayName="tblTratamento" ref="A4:W500">
  <autoFilter ref="A4:W500" xr:uid="{00000000-0009-0000-0100-000002000000}"/>
  <tableColumns count="23">
    <tableColumn id="1" xr3:uid="{00000000-0010-0000-0000-000001000000}" name="Data Auditoria" dataDxfId="17">
      <calculatedColumnFormula>CONTROLE_DIARIO!A6</calculatedColumnFormula>
    </tableColumn>
    <tableColumn id="2" xr3:uid="{00000000-0010-0000-0000-000002000000}" name="Loja" dataDxfId="16">
      <calculatedColumnFormula>CONTROLE_DIARIO!B6</calculatedColumnFormula>
    </tableColumn>
    <tableColumn id="3" xr3:uid="{00000000-0010-0000-0000-000003000000}" name="Nº Manifesto">
      <calculatedColumnFormula>CONTROLE_DIARIO!C6</calculatedColumnFormula>
    </tableColumn>
    <tableColumn id="4" xr3:uid="{00000000-0010-0000-0000-000004000000}" name="Motorista">
      <calculatedColumnFormula>CONTROLE_DIARIO!D6</calculatedColumnFormula>
    </tableColumn>
    <tableColumn id="5" xr3:uid="{00000000-0010-0000-0000-000005000000}" name="Status SANTRI">
      <calculatedColumnFormula>CONTROLE_DIARIO!E6</calculatedColumnFormula>
    </tableColumn>
    <tableColumn id="6" xr3:uid="{00000000-0010-0000-0000-000006000000}" name="Assinatura Motorista?">
      <calculatedColumnFormula>CONTROLE_DIARIO!F6</calculatedColumnFormula>
    </tableColumn>
    <tableColumn id="7" xr3:uid="{00000000-0010-0000-0000-000007000000}" name="Foto Entrega?">
      <calculatedColumnFormula>CONTROLE_DIARIO!G6</calculatedColumnFormula>
    </tableColumn>
    <tableColumn id="8" xr3:uid="{00000000-0010-0000-0000-000008000000}" name="Assinatura Cliente?">
      <calculatedColumnFormula>CONTROLE_DIARIO!H6</calculatedColumnFormula>
    </tableColumn>
    <tableColumn id="9" xr3:uid="{00000000-0010-0000-0000-000009000000}" name="Baixado?">
      <calculatedColumnFormula>CONTROLE_DIARIO!I6</calculatedColumnFormula>
    </tableColumn>
    <tableColumn id="10" xr3:uid="{00000000-0010-0000-0000-00000A000000}" name="Evidência Completa">
      <calculatedColumnFormula>CONTROLE_DIARIO!J6</calculatedColumnFormula>
    </tableColumn>
    <tableColumn id="11" xr3:uid="{00000000-0010-0000-0000-00000B000000}" name="OK/NOK">
      <calculatedColumnFormula>CONTROLE_DIARIO!K6</calculatedColumnFormula>
    </tableColumn>
    <tableColumn id="12" xr3:uid="{00000000-0010-0000-0000-00000C000000}" name="Erro Padrão" dataDxfId="15">
      <calculatedColumnFormula>CONTROLE_DIARIO!L6</calculatedColumnFormula>
    </tableColumn>
    <tableColumn id="13" xr3:uid="{00000000-0010-0000-0000-00000D000000}" name="Observação" dataDxfId="14">
      <calculatedColumnFormula>CONTROLE_DIARIO!M6</calculatedColumnFormula>
    </tableColumn>
    <tableColumn id="14" xr3:uid="{00000000-0010-0000-0000-00000E000000}" name="Auditado por">
      <calculatedColumnFormula>CONTROLE_DIARIO!N6</calculatedColumnFormula>
    </tableColumn>
    <tableColumn id="15" xr3:uid="{00000000-0010-0000-0000-00000F000000}" name="Gerente Resp.">
      <calculatedColumnFormula>CONTROLE_DIARIO!O6</calculatedColumnFormula>
    </tableColumn>
    <tableColumn id="16" xr3:uid="{00000000-0010-0000-0000-000010000000}" name="Chave" dataDxfId="13">
      <calculatedColumnFormula>CONTROLE_DIARIO!P6</calculatedColumnFormula>
    </tableColumn>
    <tableColumn id="17" xr3:uid="{00000000-0010-0000-0000-000011000000}" name="Score Ponderado" dataDxfId="12">
      <calculatedColumnFormula>IF(C5="","",(IF(F5="SIM",0.3,0)+IF(J5="SIM",0.4,0)+IF(I5="SIM",0.3,0)))</calculatedColumnFormula>
    </tableColumn>
    <tableColumn id="18" xr3:uid="{00000000-0010-0000-0000-000012000000}" name="Erro Calculado" dataDxfId="11">
      <calculatedColumnFormula>IF(C5="","",IF(E5="Retorno Total","Retorno Total",IF(E5="Cancelado","Manifesto Cancelado",IF(AND(F5="NÃO",G5="NÃO",H5="NÃO"),"FORA APP",IF(F5="NÃO","Não conferido",IF(I5="NÃO","Não baixado",IF(AND(G5="NÃO",H5="NÃO"),"Sem foto e assinatura",IF(G5="NÃO","Sem foto",IF(H5="NÃO","Sem assinatura","OK")))))))))</calculatedColumnFormula>
    </tableColumn>
    <tableColumn id="19" xr3:uid="{00000000-0010-0000-0000-000013000000}" name="Mês" dataDxfId="10">
      <calculatedColumnFormula>IF(A5="","",TEXT(A5,"mmm/yy"))</calculatedColumnFormula>
    </tableColumn>
    <tableColumn id="20" xr3:uid="{00000000-0010-0000-0000-000014000000}" name="Semana">
      <calculatedColumnFormula>IF(A5="","",WEEKNUM(A5,2))</calculatedColumnFormula>
    </tableColumn>
    <tableColumn id="21" xr3:uid="{00000000-0010-0000-0000-000015000000}" name="Ano">
      <calculatedColumnFormula>IF(A5="","",YEAR(A5))</calculatedColumnFormula>
    </tableColumn>
    <tableColumn id="22" xr3:uid="{00000000-0010-0000-0000-000016000000}" name="ISO Base">
      <calculatedColumnFormula>IF(C5="","",Q5)</calculatedColumnFormula>
    </tableColumn>
    <tableColumn id="23" xr3:uid="{00000000-0010-0000-0000-000017000000}" name="Status Gestão">
      <calculatedColumnFormula>IF(C5="","",IF(Q5&lt;0.85,"CRÍTICO",IF(Q5&lt;0.95,"ATENÇÃO","OK")))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AR104"/>
  <sheetViews>
    <sheetView showGridLines="0" zoomScale="85" zoomScaleNormal="85" workbookViewId="0">
      <selection activeCell="B9" sqref="B9:O9"/>
    </sheetView>
  </sheetViews>
  <sheetFormatPr defaultRowHeight="15" x14ac:dyDescent="0.25"/>
  <cols>
    <col min="1" max="1" width="4.140625" style="22" customWidth="1"/>
    <col min="2" max="2" width="17.85546875" bestFit="1" customWidth="1"/>
    <col min="3" max="3" width="10.140625" bestFit="1" customWidth="1"/>
    <col min="4" max="7" width="14" customWidth="1"/>
    <col min="8" max="8" width="21.85546875" bestFit="1" customWidth="1"/>
    <col min="9" max="13" width="14" customWidth="1"/>
    <col min="14" max="14" width="17.140625" bestFit="1" customWidth="1"/>
    <col min="15" max="15" width="5.42578125" bestFit="1" customWidth="1"/>
    <col min="16" max="16" width="4.5703125" style="22" customWidth="1"/>
    <col min="45" max="45" width="9.140625" customWidth="1"/>
    <col min="76" max="76" width="9.140625" customWidth="1"/>
  </cols>
  <sheetData>
    <row r="1" spans="2:44" s="22" customFormat="1" ht="6" customHeight="1" thickBot="1" x14ac:dyDescent="0.3"/>
    <row r="2" spans="2:44" ht="20.100000000000001" customHeight="1" x14ac:dyDescent="0.25">
      <c r="B2" s="92" t="s">
        <v>126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4"/>
      <c r="Q2" s="92" t="s">
        <v>129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4"/>
    </row>
    <row r="3" spans="2:44" ht="20.100000000000001" customHeight="1" x14ac:dyDescent="0.25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Q3" s="95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7"/>
    </row>
    <row r="4" spans="2:44" ht="20.100000000000001" customHeight="1" x14ac:dyDescent="0.25">
      <c r="B4" s="101" t="s">
        <v>33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46"/>
      <c r="Q4" s="56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</row>
    <row r="5" spans="2:44" ht="33" customHeight="1" x14ac:dyDescent="0.25">
      <c r="B5" s="121" t="s">
        <v>143</v>
      </c>
      <c r="C5" s="111"/>
      <c r="D5" s="110" t="s">
        <v>128</v>
      </c>
      <c r="E5" s="111"/>
      <c r="F5" s="122" t="s">
        <v>72</v>
      </c>
      <c r="G5" s="123"/>
      <c r="H5" s="122" t="s">
        <v>36</v>
      </c>
      <c r="I5" s="123"/>
      <c r="J5" s="122" t="s">
        <v>37</v>
      </c>
      <c r="K5" s="123"/>
      <c r="L5" s="110" t="s">
        <v>144</v>
      </c>
      <c r="M5" s="111"/>
      <c r="N5" s="103" t="s">
        <v>125</v>
      </c>
      <c r="O5" s="104"/>
      <c r="P5" s="58"/>
      <c r="Q5" s="56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8"/>
    </row>
    <row r="6" spans="2:44" x14ac:dyDescent="0.25">
      <c r="B6" s="115">
        <f>IFERROR(COUNTIF(TRATAMENTO!K:K,"OK")/(COUNTIF(TRATAMENTO!K:K,"OK")+COUNTIF(TRATAMENTO!K:K,"NOK")),0)</f>
        <v>0.54716981132075471</v>
      </c>
      <c r="C6" s="108"/>
      <c r="D6" s="107">
        <f>IFERROR(AVERAGEIF(TRATAMENTO!V:V,"&gt;0"),0)</f>
        <v>0.77538461538461456</v>
      </c>
      <c r="E6" s="108"/>
      <c r="F6" s="107">
        <f>IFERROR(COUNTIF(CONTROLE_DIARIO!F:F,"SIM")/(COUNTIF(CONTROLE_DIARIO!F:F,"SIM")+COUNTIF(CONTROLE_DIARIO!F:F,"NÃO")),0)</f>
        <v>0.69230769230769229</v>
      </c>
      <c r="G6" s="108"/>
      <c r="H6" s="107">
        <f>IFERROR(COUNTIF(CONTROLE_DIARIO!J:J,"SIM")/(COUNTIF(CONTROLE_DIARIO!J:J,"SIM")+COUNTIF(CONTROLE_DIARIO!J:J,"NÃO")),0)</f>
        <v>0.6</v>
      </c>
      <c r="I6" s="108"/>
      <c r="J6" s="107">
        <f>IFERROR(COUNTIF(CONTROLE_DIARIO!I:I,"SIM")/(COUNTIF(CONTROLE_DIARIO!I:I,"SIM")+COUNTIF(CONTROLE_DIARIO!I:I,"NÃO")),0)</f>
        <v>1</v>
      </c>
      <c r="K6" s="108"/>
      <c r="L6" s="120">
        <f>IFERROR(COUNTIF(TRATAMENTO!K:K,"NOK")/(COUNTIF(TRATAMENTO!K:K,"OK")+COUNTIF(TRATAMENTO!K:K,"NOK")),0)</f>
        <v>0.45283018867924529</v>
      </c>
      <c r="M6" s="108"/>
      <c r="N6" s="109">
        <f>COUNTA(CONTROLE_DIARIO!C:C)-1</f>
        <v>159</v>
      </c>
      <c r="O6" s="109"/>
      <c r="P6" s="58"/>
      <c r="Q6" s="56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8"/>
    </row>
    <row r="7" spans="2:44" ht="42" customHeight="1" x14ac:dyDescent="0.25">
      <c r="B7" s="116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58"/>
      <c r="Q7" s="56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8"/>
    </row>
    <row r="8" spans="2:44" x14ac:dyDescent="0.25">
      <c r="B8" s="56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8"/>
      <c r="Q8" s="56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8"/>
    </row>
    <row r="9" spans="2:44" ht="20.100000000000001" customHeight="1" x14ac:dyDescent="0.25">
      <c r="B9" s="105" t="s">
        <v>38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58"/>
      <c r="Q9" s="56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8"/>
    </row>
    <row r="10" spans="2:44" ht="15.75" thickBot="1" x14ac:dyDescent="0.3"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8"/>
      <c r="Q10" s="56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8"/>
    </row>
    <row r="11" spans="2:44" ht="20.100000000000001" customHeight="1" x14ac:dyDescent="0.25">
      <c r="B11" s="112" t="s">
        <v>39</v>
      </c>
      <c r="C11" s="113"/>
      <c r="D11" s="113"/>
      <c r="E11" s="113"/>
      <c r="F11" s="114"/>
      <c r="G11" s="57"/>
      <c r="H11" s="112" t="s">
        <v>40</v>
      </c>
      <c r="I11" s="113"/>
      <c r="J11" s="113"/>
      <c r="K11" s="113"/>
      <c r="L11" s="114"/>
      <c r="M11" s="57" t="s">
        <v>150</v>
      </c>
      <c r="N11" s="98" t="s">
        <v>45</v>
      </c>
      <c r="O11" s="100"/>
      <c r="P11" s="58"/>
      <c r="Q11" s="56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8"/>
    </row>
    <row r="12" spans="2:44" ht="20.100000000000001" customHeight="1" x14ac:dyDescent="0.25">
      <c r="B12" s="26" t="s">
        <v>2</v>
      </c>
      <c r="C12" s="5" t="s">
        <v>41</v>
      </c>
      <c r="D12" s="5" t="s">
        <v>42</v>
      </c>
      <c r="E12" s="5" t="s">
        <v>43</v>
      </c>
      <c r="F12" s="27" t="s">
        <v>34</v>
      </c>
      <c r="G12" s="57"/>
      <c r="H12" s="26" t="s">
        <v>4</v>
      </c>
      <c r="I12" s="5" t="s">
        <v>41</v>
      </c>
      <c r="J12" s="5" t="s">
        <v>42</v>
      </c>
      <c r="K12" s="5" t="s">
        <v>43</v>
      </c>
      <c r="L12" s="27" t="s">
        <v>34</v>
      </c>
      <c r="M12" s="57"/>
      <c r="N12" s="26" t="s">
        <v>49</v>
      </c>
      <c r="O12" s="27" t="s">
        <v>47</v>
      </c>
      <c r="P12" s="58"/>
      <c r="Q12" s="56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8"/>
    </row>
    <row r="13" spans="2:44" ht="20.100000000000001" customHeight="1" x14ac:dyDescent="0.25">
      <c r="B13" s="33" t="str">
        <f>AUXILIAR!C2</f>
        <v>Loja Pistão</v>
      </c>
      <c r="C13" s="3">
        <f>COUNTIF(TRATAMENTO!B:B,B13)</f>
        <v>44</v>
      </c>
      <c r="D13" s="3">
        <f>COUNTIFS(TRATAMENTO!B:B,B13,TRATAMENTO!K:K,"OK")</f>
        <v>31</v>
      </c>
      <c r="E13" s="3">
        <f>COUNTIFS(TRATAMENTO!B:B,B13,TRATAMENTO!K:K,"NOK")</f>
        <v>13</v>
      </c>
      <c r="F13" s="34">
        <f t="shared" ref="F13:F20" si="0">IFERROR(D13/C13,0)</f>
        <v>0.70454545454545459</v>
      </c>
      <c r="G13" s="57"/>
      <c r="H13" s="28" t="str">
        <f>AUXILIAR!E2</f>
        <v>João Lucas</v>
      </c>
      <c r="I13" s="3">
        <f>COUNTIF(TRATAMENTO!D:D,H13)</f>
        <v>82</v>
      </c>
      <c r="J13" s="3">
        <f>COUNTIFS(TRATAMENTO!D:D,H13,TRATAMENTO!K:K,"OK")</f>
        <v>56</v>
      </c>
      <c r="K13" s="3">
        <f>COUNTIFS(TRATAMENTO!D:D,H13,TRATAMENTO!K:K,"NOK")</f>
        <v>26</v>
      </c>
      <c r="L13" s="34">
        <f t="shared" ref="L13:L20" si="1">IFERROR(J13/I13,0)</f>
        <v>0.68292682926829273</v>
      </c>
      <c r="M13" s="57"/>
      <c r="N13" s="38" t="str">
        <f>AUXILIAR!G2</f>
        <v>Entrega Total</v>
      </c>
      <c r="O13" s="29">
        <f>COUNTIF(CONTROLE_DIARIO!E:E,N13)</f>
        <v>130</v>
      </c>
      <c r="P13" s="58"/>
      <c r="Q13" s="56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8"/>
    </row>
    <row r="14" spans="2:44" ht="20.100000000000001" customHeight="1" x14ac:dyDescent="0.25">
      <c r="B14" s="33" t="str">
        <f>AUXILIAR!C3</f>
        <v>Loja Asa Norte</v>
      </c>
      <c r="C14" s="3">
        <f>COUNTIF(TRATAMENTO!B:B,B14)</f>
        <v>33</v>
      </c>
      <c r="D14" s="3">
        <f>COUNTIFS(TRATAMENTO!B:B,B14,TRATAMENTO!K:K,"OK")</f>
        <v>0</v>
      </c>
      <c r="E14" s="3">
        <f>COUNTIFS(TRATAMENTO!B:B,B14,TRATAMENTO!K:K,"NOK")</f>
        <v>33</v>
      </c>
      <c r="F14" s="34">
        <f t="shared" si="0"/>
        <v>0</v>
      </c>
      <c r="G14" s="57"/>
      <c r="H14" s="28" t="str">
        <f>AUXILIAR!E3</f>
        <v>Jusley</v>
      </c>
      <c r="I14" s="3">
        <f>COUNTIF(TRATAMENTO!D:D,H14)</f>
        <v>3</v>
      </c>
      <c r="J14" s="3">
        <f>COUNTIFS(TRATAMENTO!D:D,H14,TRATAMENTO!K:K,"OK")</f>
        <v>0</v>
      </c>
      <c r="K14" s="3">
        <f>COUNTIFS(TRATAMENTO!D:D,H14,TRATAMENTO!K:K,"NOK")</f>
        <v>3</v>
      </c>
      <c r="L14" s="34">
        <f t="shared" si="1"/>
        <v>0</v>
      </c>
      <c r="M14" s="57"/>
      <c r="N14" s="38" t="str">
        <f>AUXILIAR!G3</f>
        <v>Retorno Total</v>
      </c>
      <c r="O14" s="29">
        <f>COUNTIF(CONTROLE_DIARIO!E:E,N14)</f>
        <v>1</v>
      </c>
      <c r="P14" s="58"/>
      <c r="Q14" s="56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8"/>
    </row>
    <row r="15" spans="2:44" ht="20.100000000000001" customHeight="1" x14ac:dyDescent="0.25">
      <c r="B15" s="33" t="str">
        <f>AUXILIAR!C4</f>
        <v>Loja Aguas Lindas</v>
      </c>
      <c r="C15" s="3">
        <f>COUNTIF(TRATAMENTO!B:B,B15)</f>
        <v>3</v>
      </c>
      <c r="D15" s="3">
        <f>COUNTIFS(TRATAMENTO!B:B,B15,TRATAMENTO!K:K,"OK")</f>
        <v>0</v>
      </c>
      <c r="E15" s="3">
        <f>COUNTIFS(TRATAMENTO!B:B,B15,TRATAMENTO!K:K,"NOK")</f>
        <v>3</v>
      </c>
      <c r="F15" s="34">
        <f t="shared" si="0"/>
        <v>0</v>
      </c>
      <c r="G15" s="57"/>
      <c r="H15" s="28" t="str">
        <f>AUXILIAR!E4</f>
        <v>J. Alessandro</v>
      </c>
      <c r="I15" s="3">
        <f>COUNTIF(TRATAMENTO!D:D,H15)</f>
        <v>34</v>
      </c>
      <c r="J15" s="3">
        <f>COUNTIFS(TRATAMENTO!D:D,H15,TRATAMENTO!K:K,"OK")</f>
        <v>0</v>
      </c>
      <c r="K15" s="3">
        <f>COUNTIFS(TRATAMENTO!D:D,H15,TRATAMENTO!K:K,"NOK")</f>
        <v>34</v>
      </c>
      <c r="L15" s="34">
        <f t="shared" si="1"/>
        <v>0</v>
      </c>
      <c r="M15" s="57"/>
      <c r="N15" s="38" t="str">
        <f>AUXILIAR!G4</f>
        <v>Entrega Parcial</v>
      </c>
      <c r="O15" s="29">
        <f>COUNTIF(CONTROLE_DIARIO!E:E,N15)</f>
        <v>0</v>
      </c>
      <c r="P15" s="58"/>
      <c r="Q15" s="56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8"/>
    </row>
    <row r="16" spans="2:44" ht="20.100000000000001" customHeight="1" x14ac:dyDescent="0.25">
      <c r="B16" s="33" t="str">
        <f>AUXILIAR!C5</f>
        <v>Loja Valparaiso</v>
      </c>
      <c r="C16" s="3">
        <f>COUNTIF(TRATAMENTO!B:B,B16)</f>
        <v>41</v>
      </c>
      <c r="D16" s="3">
        <f>COUNTIFS(TRATAMENTO!B:B,B16,TRATAMENTO!K:K,"OK")</f>
        <v>31</v>
      </c>
      <c r="E16" s="3">
        <f>COUNTIFS(TRATAMENTO!B:B,B16,TRATAMENTO!K:K,"NOK")</f>
        <v>10</v>
      </c>
      <c r="F16" s="34">
        <f t="shared" si="0"/>
        <v>0.75609756097560976</v>
      </c>
      <c r="G16" s="57"/>
      <c r="H16" s="28" t="str">
        <f>AUXILIAR!E5</f>
        <v>Wederson C.</v>
      </c>
      <c r="I16" s="3">
        <f>COUNTIF(TRATAMENTO!D:D,H16)</f>
        <v>40</v>
      </c>
      <c r="J16" s="3">
        <f>COUNTIFS(TRATAMENTO!D:D,H16,TRATAMENTO!K:K,"OK")</f>
        <v>31</v>
      </c>
      <c r="K16" s="3">
        <f>COUNTIFS(TRATAMENTO!D:D,H16,TRATAMENTO!K:K,"NOK")</f>
        <v>9</v>
      </c>
      <c r="L16" s="34">
        <f t="shared" si="1"/>
        <v>0.77500000000000002</v>
      </c>
      <c r="M16" s="57"/>
      <c r="N16" s="38" t="str">
        <f>AUXILIAR!G5</f>
        <v>Aberto</v>
      </c>
      <c r="O16" s="29">
        <f>COUNTIF(CONTROLE_DIARIO!E:E,N16)</f>
        <v>15</v>
      </c>
      <c r="P16" s="58"/>
      <c r="Q16" s="56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8"/>
    </row>
    <row r="17" spans="2:44" ht="20.100000000000001" customHeight="1" x14ac:dyDescent="0.25">
      <c r="B17" s="33" t="str">
        <f>AUXILIAR!C6</f>
        <v>Loja Ceilândia</v>
      </c>
      <c r="C17" s="3">
        <f>COUNTIF(TRATAMENTO!B:B,B17)</f>
        <v>0</v>
      </c>
      <c r="D17" s="3">
        <f>COUNTIFS(TRATAMENTO!B:B,B17,TRATAMENTO!K:K,"OK")</f>
        <v>0</v>
      </c>
      <c r="E17" s="3">
        <f>COUNTIFS(TRATAMENTO!B:B,B17,TRATAMENTO!K:K,"NOK")</f>
        <v>0</v>
      </c>
      <c r="F17" s="34">
        <f t="shared" si="0"/>
        <v>0</v>
      </c>
      <c r="G17" s="57"/>
      <c r="H17" s="28">
        <f>AUXILIAR!E6</f>
        <v>0</v>
      </c>
      <c r="I17" s="3">
        <f>COUNTIF(TRATAMENTO!D:D,H17)</f>
        <v>337</v>
      </c>
      <c r="J17" s="3">
        <f>COUNTIFS(TRATAMENTO!D:D,H17,TRATAMENTO!K:K,"OK")</f>
        <v>0</v>
      </c>
      <c r="K17" s="3">
        <f>COUNTIFS(TRATAMENTO!D:D,H17,TRATAMENTO!K:K,"NOK")</f>
        <v>0</v>
      </c>
      <c r="L17" s="34">
        <f t="shared" si="1"/>
        <v>0</v>
      </c>
      <c r="M17" s="57"/>
      <c r="N17" s="38" t="str">
        <f>AUXILIAR!G6</f>
        <v>Devolução Avaria</v>
      </c>
      <c r="O17" s="29">
        <f>COUNTIF(CONTROLE_DIARIO!E:E,N17)</f>
        <v>0</v>
      </c>
      <c r="P17" s="58"/>
      <c r="Q17" s="56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8"/>
    </row>
    <row r="18" spans="2:44" ht="20.100000000000001" customHeight="1" thickBot="1" x14ac:dyDescent="0.3">
      <c r="B18" s="33" t="str">
        <f>AUXILIAR!C7</f>
        <v>Loja ADE</v>
      </c>
      <c r="C18" s="3">
        <f>COUNTIF(TRATAMENTO!B:B,B18)</f>
        <v>38</v>
      </c>
      <c r="D18" s="3">
        <f>COUNTIFS(TRATAMENTO!B:B,B18,TRATAMENTO!K:K,"OK")</f>
        <v>25</v>
      </c>
      <c r="E18" s="3">
        <f>COUNTIFS(TRATAMENTO!B:B,B18,TRATAMENTO!K:K,"NOK")</f>
        <v>13</v>
      </c>
      <c r="F18" s="34">
        <f t="shared" si="0"/>
        <v>0.65789473684210531</v>
      </c>
      <c r="G18" s="57"/>
      <c r="H18" s="28">
        <f>AUXILIAR!E7</f>
        <v>0</v>
      </c>
      <c r="I18" s="3">
        <f>COUNTIF(TRATAMENTO!D:D,H18)</f>
        <v>337</v>
      </c>
      <c r="J18" s="3">
        <f>COUNTIFS(TRATAMENTO!D:D,H18,TRATAMENTO!K:K,"OK")</f>
        <v>0</v>
      </c>
      <c r="K18" s="3">
        <f>COUNTIFS(TRATAMENTO!D:D,H18,TRATAMENTO!K:K,"NOK")</f>
        <v>0</v>
      </c>
      <c r="L18" s="34">
        <f t="shared" si="1"/>
        <v>0</v>
      </c>
      <c r="M18" s="57"/>
      <c r="N18" s="39" t="str">
        <f>AUXILIAR!G7</f>
        <v>Cancelado</v>
      </c>
      <c r="O18" s="40">
        <f>COUNTIF(CONTROLE_DIARIO!E:E,N18)</f>
        <v>13</v>
      </c>
      <c r="P18" s="58"/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8"/>
    </row>
    <row r="19" spans="2:44" ht="20.100000000000001" customHeight="1" x14ac:dyDescent="0.25">
      <c r="B19" s="33" t="str">
        <f>AUXILIAR!C8</f>
        <v>Loja Matriz</v>
      </c>
      <c r="C19" s="3">
        <f>COUNTIF(TRATAMENTO!B:B,B19)</f>
        <v>0</v>
      </c>
      <c r="D19" s="3">
        <f>COUNTIFS(TRATAMENTO!B:B,B19,TRATAMENTO!K:K,"OK")</f>
        <v>0</v>
      </c>
      <c r="E19" s="3">
        <f>COUNTIFS(TRATAMENTO!B:B,B19,TRATAMENTO!K:K,"NOK")</f>
        <v>0</v>
      </c>
      <c r="F19" s="34">
        <f t="shared" si="0"/>
        <v>0</v>
      </c>
      <c r="G19" s="57"/>
      <c r="H19" s="28">
        <f>AUXILIAR!E8</f>
        <v>0</v>
      </c>
      <c r="I19" s="3">
        <f>COUNTIF(TRATAMENTO!D:D,H19)</f>
        <v>337</v>
      </c>
      <c r="J19" s="3">
        <f>COUNTIFS(TRATAMENTO!D:D,H19,TRATAMENTO!K:K,"OK")</f>
        <v>0</v>
      </c>
      <c r="K19" s="3">
        <f>COUNTIFS(TRATAMENTO!D:D,H19,TRATAMENTO!K:K,"NOK")</f>
        <v>0</v>
      </c>
      <c r="L19" s="34">
        <f t="shared" si="1"/>
        <v>0</v>
      </c>
      <c r="M19" s="57"/>
      <c r="N19" s="57"/>
      <c r="O19" s="57"/>
      <c r="P19" s="58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8"/>
    </row>
    <row r="20" spans="2:44" ht="20.100000000000001" customHeight="1" thickBot="1" x14ac:dyDescent="0.3">
      <c r="B20" s="35" t="str">
        <f>AUXILIAR!C9</f>
        <v>Loja Luziânia</v>
      </c>
      <c r="C20" s="36">
        <f>COUNTIF(TRATAMENTO!B:B,B20)</f>
        <v>0</v>
      </c>
      <c r="D20" s="36">
        <f>COUNTIFS(TRATAMENTO!B:B,B20,TRATAMENTO!K:K,"OK")</f>
        <v>0</v>
      </c>
      <c r="E20" s="36">
        <f>COUNTIFS(TRATAMENTO!B:B,B20,TRATAMENTO!K:K,"NOK")</f>
        <v>0</v>
      </c>
      <c r="F20" s="37">
        <f t="shared" si="0"/>
        <v>0</v>
      </c>
      <c r="G20" s="57"/>
      <c r="H20" s="41">
        <f>AUXILIAR!E9</f>
        <v>0</v>
      </c>
      <c r="I20" s="36">
        <f>COUNTIF(TRATAMENTO!D:D,H20)</f>
        <v>337</v>
      </c>
      <c r="J20" s="36">
        <f>COUNTIFS(TRATAMENTO!D:D,H20,TRATAMENTO!K:K,"OK")</f>
        <v>0</v>
      </c>
      <c r="K20" s="36">
        <f>COUNTIFS(TRATAMENTO!D:D,H20,TRATAMENTO!K:K,"NOK")</f>
        <v>0</v>
      </c>
      <c r="L20" s="37">
        <f t="shared" si="1"/>
        <v>0</v>
      </c>
      <c r="M20" s="57"/>
      <c r="N20" s="57"/>
      <c r="O20" s="57"/>
      <c r="P20" s="58"/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8"/>
    </row>
    <row r="21" spans="2:44" ht="15.75" thickBot="1" x14ac:dyDescent="0.3"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/>
      <c r="Q21" s="56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8"/>
    </row>
    <row r="22" spans="2:44" ht="20.100000000000001" customHeight="1" x14ac:dyDescent="0.25">
      <c r="B22" s="98" t="s">
        <v>58</v>
      </c>
      <c r="C22" s="99"/>
      <c r="D22" s="99"/>
      <c r="E22" s="99"/>
      <c r="F22" s="100"/>
      <c r="G22" s="57"/>
      <c r="H22" s="98" t="s">
        <v>44</v>
      </c>
      <c r="I22" s="99"/>
      <c r="J22" s="100"/>
      <c r="K22" s="57"/>
      <c r="L22" s="117" t="s">
        <v>145</v>
      </c>
      <c r="M22" s="118"/>
      <c r="N22" s="119"/>
      <c r="O22" s="57"/>
      <c r="P22" s="58"/>
      <c r="Q22" s="56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8"/>
    </row>
    <row r="23" spans="2:44" ht="20.100000000000001" customHeight="1" x14ac:dyDescent="0.25">
      <c r="B23" s="26" t="s">
        <v>28</v>
      </c>
      <c r="C23" s="5" t="s">
        <v>59</v>
      </c>
      <c r="D23" s="5" t="s">
        <v>42</v>
      </c>
      <c r="E23" s="5" t="s">
        <v>43</v>
      </c>
      <c r="F23" s="27" t="s">
        <v>34</v>
      </c>
      <c r="G23" s="57"/>
      <c r="H23" s="26" t="s">
        <v>46</v>
      </c>
      <c r="I23" s="5" t="s">
        <v>47</v>
      </c>
      <c r="J23" s="27" t="s">
        <v>48</v>
      </c>
      <c r="K23" s="57"/>
      <c r="L23" s="66" t="s">
        <v>49</v>
      </c>
      <c r="M23" s="65" t="s">
        <v>47</v>
      </c>
      <c r="N23" s="67" t="s">
        <v>48</v>
      </c>
      <c r="O23" s="57"/>
      <c r="P23" s="58"/>
      <c r="Q23" s="56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8"/>
    </row>
    <row r="24" spans="2:44" ht="20.100000000000001" customHeight="1" x14ac:dyDescent="0.25">
      <c r="B24" s="62">
        <v>46113</v>
      </c>
      <c r="C24" s="3">
        <f>COUNTIFS(TRATAMENTO!A:A,"&gt;="&amp;B24,TRATAMENTO!A:A,"&lt;"&amp;EDATE(B24,1))</f>
        <v>8</v>
      </c>
      <c r="D24" s="3">
        <f>COUNTIFS(TRATAMENTO!A:A,"&gt;="&amp;B24,TRATAMENTO!A:A,"&lt;"&amp;EDATE(B24,1),TRATAMENTO!K:K,"OK")</f>
        <v>6</v>
      </c>
      <c r="E24" s="3">
        <f>COUNTIFS(TRATAMENTO!A:A,"&gt;="&amp;B24,TRATAMENTO!A:A,"&lt;"&amp;EDATE(B24,1),TRATAMENTO!K:K,"NOK")</f>
        <v>2</v>
      </c>
      <c r="F24" s="34">
        <f t="shared" ref="F24" si="2">IFERROR(D24/C24,0)</f>
        <v>0.75</v>
      </c>
      <c r="G24" s="57"/>
      <c r="H24" s="33" t="str">
        <f>AUXILIAR!I3</f>
        <v>Sem assinatura</v>
      </c>
      <c r="I24" s="3">
        <f>COUNTIF(TRATAMENTO!R:R,H24)</f>
        <v>2</v>
      </c>
      <c r="J24" s="34">
        <f>IFERROR(I24/SUM($I$24:$I$32),0)</f>
        <v>1.9417475728155338E-2</v>
      </c>
      <c r="K24" s="57"/>
      <c r="L24" s="68" t="s">
        <v>42</v>
      </c>
      <c r="M24" s="70">
        <f>COUNTIF(CONTROLE_DIARIO!L:L,"OK")</f>
        <v>40</v>
      </c>
      <c r="N24" s="72">
        <f>IFERROR(COUNTIF(CONTROLE_DIARIO!L:L,"OK")/(COUNTA(CONTROLE_DIARIO!L:L)-1),0)</f>
        <v>0.27777777777777779</v>
      </c>
      <c r="O24" s="57"/>
      <c r="P24" s="58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8"/>
    </row>
    <row r="25" spans="2:44" ht="20.100000000000001" customHeight="1" thickBot="1" x14ac:dyDescent="0.3">
      <c r="B25" s="62">
        <v>46143</v>
      </c>
      <c r="C25" s="3">
        <f>COUNTIFS(TRATAMENTO!A:A,"&gt;="&amp;B25,TRATAMENTO!A:A,"&lt;"&amp;EDATE(B25,1))</f>
        <v>151</v>
      </c>
      <c r="D25" s="3">
        <f>COUNTIFS(TRATAMENTO!A:A,"&gt;="&amp;B25,TRATAMENTO!A:A,"&lt;"&amp;EDATE(B25,1),TRATAMENTO!K:K,"OK")</f>
        <v>81</v>
      </c>
      <c r="E25" s="3">
        <f>COUNTIFS(TRATAMENTO!A:A,"&gt;="&amp;B25,TRATAMENTO!A:A,"&lt;"&amp;EDATE(B25,1),TRATAMENTO!K:K,"NOK")</f>
        <v>70</v>
      </c>
      <c r="F25" s="34">
        <f t="shared" ref="F25:F32" si="3">IFERROR(D25/C25,0)</f>
        <v>0.53642384105960261</v>
      </c>
      <c r="G25" s="57"/>
      <c r="H25" s="33" t="str">
        <f>AUXILIAR!I4</f>
        <v>Sem nenhuma foto</v>
      </c>
      <c r="I25" s="3">
        <f>COUNTIF(TRATAMENTO!L:L,H25)</f>
        <v>1</v>
      </c>
      <c r="J25" s="34">
        <f t="shared" ref="J25:J33" si="4">IFERROR(I25/SUM($I$24:$I$32),0)</f>
        <v>9.7087378640776691E-3</v>
      </c>
      <c r="K25" s="57"/>
      <c r="L25" s="69" t="s">
        <v>43</v>
      </c>
      <c r="M25" s="71">
        <f>COUNTA(CONTROLE_DIARIO!L:L)-COUNTIF(CONTROLE_DIARIO!L:L,"OK")-1</f>
        <v>104</v>
      </c>
      <c r="N25" s="73">
        <f>IFERROR((COUNTA(CONTROLE_DIARIO!L:L)-COUNTIF(CONTROLE_DIARIO!L:L,"OK")-1)/(COUNTA(CONTROLE_DIARIO!L:L)-1),0)</f>
        <v>0.72222222222222221</v>
      </c>
      <c r="O25" s="57"/>
      <c r="P25" s="58"/>
      <c r="Q25" s="56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8"/>
    </row>
    <row r="26" spans="2:44" ht="20.100000000000001" customHeight="1" x14ac:dyDescent="0.25">
      <c r="B26" s="62">
        <v>46174</v>
      </c>
      <c r="C26" s="3">
        <f>COUNTIFS(TRATAMENTO!A:A,"&gt;="&amp;B26,TRATAMENTO!A:A,"&lt;"&amp;EDATE(B26,1))</f>
        <v>0</v>
      </c>
      <c r="D26" s="3">
        <f>COUNTIFS(TRATAMENTO!A:A,"&gt;="&amp;B26,TRATAMENTO!A:A,"&lt;"&amp;EDATE(B26,1),TRATAMENTO!K:K,"OK")</f>
        <v>0</v>
      </c>
      <c r="E26" s="3">
        <f>COUNTIFS(TRATAMENTO!A:A,"&gt;="&amp;B26,TRATAMENTO!A:A,"&lt;"&amp;EDATE(B26,1),TRATAMENTO!K:K,"NOK")</f>
        <v>0</v>
      </c>
      <c r="F26" s="34">
        <f t="shared" si="3"/>
        <v>0</v>
      </c>
      <c r="G26" s="57"/>
      <c r="H26" s="33" t="str">
        <f>AUXILIAR!I5</f>
        <v>Sem foto fachada</v>
      </c>
      <c r="I26" s="3">
        <f>COUNTIF(TRATAMENTO!L:L,H26)</f>
        <v>47</v>
      </c>
      <c r="J26" s="34">
        <f t="shared" si="4"/>
        <v>0.4563106796116505</v>
      </c>
      <c r="K26" s="57"/>
      <c r="L26" s="57"/>
      <c r="M26" s="57"/>
      <c r="N26" s="57"/>
      <c r="O26" s="57"/>
      <c r="P26" s="58"/>
      <c r="Q26" s="56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8"/>
    </row>
    <row r="27" spans="2:44" ht="20.100000000000001" customHeight="1" x14ac:dyDescent="0.25">
      <c r="B27" s="62">
        <v>46204</v>
      </c>
      <c r="C27" s="3">
        <f>COUNTIFS(TRATAMENTO!A:A,"&gt;="&amp;B27,TRATAMENTO!A:A,"&lt;"&amp;EDATE(B27,1))</f>
        <v>0</v>
      </c>
      <c r="D27" s="3">
        <f>COUNTIFS(TRATAMENTO!A:A,"&gt;="&amp;B27,TRATAMENTO!A:A,"&lt;"&amp;EDATE(B27,1),TRATAMENTO!K:K,"OK")</f>
        <v>0</v>
      </c>
      <c r="E27" s="3">
        <f>COUNTIFS(TRATAMENTO!A:A,"&gt;="&amp;B27,TRATAMENTO!A:A,"&lt;"&amp;EDATE(B27,1),TRATAMENTO!K:K,"NOK")</f>
        <v>0</v>
      </c>
      <c r="F27" s="34">
        <f t="shared" si="3"/>
        <v>0</v>
      </c>
      <c r="G27" s="57"/>
      <c r="H27" s="33" t="str">
        <f>AUXILIAR!I6</f>
        <v>Sem foto produtos</v>
      </c>
      <c r="I27" s="3">
        <f>COUNTIF(TRATAMENTO!L:L,H27)</f>
        <v>0</v>
      </c>
      <c r="J27" s="34">
        <f t="shared" si="4"/>
        <v>0</v>
      </c>
      <c r="K27" s="57"/>
      <c r="L27" s="57"/>
      <c r="M27" s="57"/>
      <c r="N27" s="57"/>
      <c r="O27" s="57"/>
      <c r="P27" s="58"/>
      <c r="Q27" s="56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8"/>
    </row>
    <row r="28" spans="2:44" ht="20.100000000000001" customHeight="1" x14ac:dyDescent="0.25">
      <c r="B28" s="62">
        <v>46235</v>
      </c>
      <c r="C28" s="3">
        <f>COUNTIFS(TRATAMENTO!A:A,"&gt;="&amp;B28,TRATAMENTO!A:A,"&lt;"&amp;EDATE(B28,1))</f>
        <v>0</v>
      </c>
      <c r="D28" s="3">
        <f>COUNTIFS(TRATAMENTO!A:A,"&gt;="&amp;B28,TRATAMENTO!A:A,"&lt;"&amp;EDATE(B28,1),TRATAMENTO!K:K,"OK")</f>
        <v>0</v>
      </c>
      <c r="E28" s="3">
        <f>COUNTIFS(TRATAMENTO!A:A,"&gt;="&amp;B28,TRATAMENTO!A:A,"&lt;"&amp;EDATE(B28,1),TRATAMENTO!K:K,"NOK")</f>
        <v>0</v>
      </c>
      <c r="F28" s="34">
        <f t="shared" si="3"/>
        <v>0</v>
      </c>
      <c r="G28" s="57"/>
      <c r="H28" s="33" t="str">
        <f>AUXILIAR!I7</f>
        <v>Sem fotos e assinatura</v>
      </c>
      <c r="I28" s="3">
        <f>COUNTIF(TRATAMENTO!R:R,H28)</f>
        <v>0</v>
      </c>
      <c r="J28" s="34">
        <f t="shared" si="4"/>
        <v>0</v>
      </c>
      <c r="K28" s="57"/>
      <c r="L28" s="57"/>
      <c r="M28" s="57"/>
      <c r="N28" s="57"/>
      <c r="O28" s="57"/>
      <c r="P28" s="58"/>
      <c r="Q28" s="56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8"/>
    </row>
    <row r="29" spans="2:44" ht="20.100000000000001" customHeight="1" x14ac:dyDescent="0.25">
      <c r="B29" s="62">
        <v>46266</v>
      </c>
      <c r="C29" s="3">
        <f>COUNTIFS(TRATAMENTO!A:A,"&gt;="&amp;B29,TRATAMENTO!A:A,"&lt;"&amp;EDATE(B29,1))</f>
        <v>0</v>
      </c>
      <c r="D29" s="3">
        <f>COUNTIFS(TRATAMENTO!A:A,"&gt;="&amp;B29,TRATAMENTO!A:A,"&lt;"&amp;EDATE(B29,1),TRATAMENTO!K:K,"OK")</f>
        <v>0</v>
      </c>
      <c r="E29" s="3">
        <f>COUNTIFS(TRATAMENTO!A:A,"&gt;="&amp;B29,TRATAMENTO!A:A,"&lt;"&amp;EDATE(B29,1),TRATAMENTO!K:K,"NOK")</f>
        <v>0</v>
      </c>
      <c r="F29" s="34">
        <f t="shared" si="3"/>
        <v>0</v>
      </c>
      <c r="G29" s="57"/>
      <c r="H29" s="33" t="str">
        <f>AUXILIAR!I8</f>
        <v>Não conferido</v>
      </c>
      <c r="I29" s="3">
        <f>COUNTIF(TRATAMENTO!R:R,H29)</f>
        <v>0</v>
      </c>
      <c r="J29" s="34">
        <f t="shared" si="4"/>
        <v>0</v>
      </c>
      <c r="K29" s="57"/>
      <c r="L29" s="57"/>
      <c r="M29" s="57"/>
      <c r="N29" s="57"/>
      <c r="O29" s="57"/>
      <c r="P29" s="58"/>
      <c r="Q29" s="56"/>
      <c r="R29" s="61" t="s">
        <v>130</v>
      </c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8"/>
    </row>
    <row r="30" spans="2:44" ht="20.100000000000001" customHeight="1" x14ac:dyDescent="0.25">
      <c r="B30" s="62">
        <v>46296</v>
      </c>
      <c r="C30" s="3">
        <f>COUNTIFS(TRATAMENTO!A:A,"&gt;="&amp;B30,TRATAMENTO!A:A,"&lt;"&amp;EDATE(B30,1))</f>
        <v>0</v>
      </c>
      <c r="D30" s="3">
        <f>COUNTIFS(TRATAMENTO!A:A,"&gt;="&amp;B30,TRATAMENTO!A:A,"&lt;"&amp;EDATE(B30,1),TRATAMENTO!K:K,"OK")</f>
        <v>0</v>
      </c>
      <c r="E30" s="3">
        <f>COUNTIFS(TRATAMENTO!A:A,"&gt;="&amp;B30,TRATAMENTO!A:A,"&lt;"&amp;EDATE(B30,1),TRATAMENTO!K:K,"NOK")</f>
        <v>0</v>
      </c>
      <c r="F30" s="34">
        <f t="shared" si="3"/>
        <v>0</v>
      </c>
      <c r="G30" s="57"/>
      <c r="H30" s="33" t="str">
        <f>AUXILIAR!I9</f>
        <v>Não baixado</v>
      </c>
      <c r="I30" s="3">
        <f>COUNTIF(TRATAMENTO!R:R,H30)</f>
        <v>0</v>
      </c>
      <c r="J30" s="34">
        <f t="shared" si="4"/>
        <v>0</v>
      </c>
      <c r="K30" s="57"/>
      <c r="L30" s="57"/>
      <c r="M30" s="57"/>
      <c r="N30" s="64"/>
      <c r="O30" s="57"/>
      <c r="P30" s="58"/>
      <c r="Q30" s="56"/>
      <c r="R30" s="61" t="s">
        <v>131</v>
      </c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8"/>
    </row>
    <row r="31" spans="2:44" ht="20.100000000000001" customHeight="1" x14ac:dyDescent="0.25">
      <c r="B31" s="62">
        <v>46327</v>
      </c>
      <c r="C31" s="3">
        <f>COUNTIFS(TRATAMENTO!A:A,"&gt;="&amp;B31,TRATAMENTO!A:A,"&lt;"&amp;EDATE(B31,1))</f>
        <v>0</v>
      </c>
      <c r="D31" s="3">
        <f>COUNTIFS(TRATAMENTO!A:A,"&gt;="&amp;B31,TRATAMENTO!A:A,"&lt;"&amp;EDATE(B31,1),TRATAMENTO!K:K,"OK")</f>
        <v>0</v>
      </c>
      <c r="E31" s="3">
        <f>COUNTIFS(TRATAMENTO!A:A,"&gt;="&amp;B31,TRATAMENTO!A:A,"&lt;"&amp;EDATE(B31,1),TRATAMENTO!K:K,"NOK")</f>
        <v>0</v>
      </c>
      <c r="F31" s="34">
        <f t="shared" si="3"/>
        <v>0</v>
      </c>
      <c r="G31" s="57"/>
      <c r="H31" s="33" t="s">
        <v>137</v>
      </c>
      <c r="I31" s="3">
        <f>COUNTIF(TRATAMENTO!R:R,H31)</f>
        <v>40</v>
      </c>
      <c r="J31" s="34">
        <f t="shared" si="4"/>
        <v>0.38834951456310679</v>
      </c>
      <c r="K31" s="57"/>
      <c r="L31" s="57"/>
      <c r="M31" s="57"/>
      <c r="N31" s="57"/>
      <c r="O31" s="57"/>
      <c r="P31" s="58"/>
      <c r="Q31" s="56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8"/>
    </row>
    <row r="32" spans="2:44" ht="20.100000000000001" customHeight="1" thickBot="1" x14ac:dyDescent="0.3">
      <c r="B32" s="63">
        <v>46357</v>
      </c>
      <c r="C32" s="36">
        <f>COUNTIFS(TRATAMENTO!A:A,"&gt;="&amp;B32,TRATAMENTO!A:A,"&lt;"&amp;EDATE(B32,1))</f>
        <v>0</v>
      </c>
      <c r="D32" s="36">
        <f>COUNTIFS(TRATAMENTO!A:A,"&gt;="&amp;B32,TRATAMENTO!A:A,"&lt;"&amp;EDATE(B32,1),TRATAMENTO!K:K,"OK")</f>
        <v>0</v>
      </c>
      <c r="E32" s="36">
        <f>COUNTIFS(TRATAMENTO!A:A,"&gt;="&amp;B32,TRATAMENTO!A:A,"&lt;"&amp;EDATE(B32,1),TRATAMENTO!K:K,"NOK")</f>
        <v>0</v>
      </c>
      <c r="F32" s="37">
        <f t="shared" si="3"/>
        <v>0</v>
      </c>
      <c r="G32" s="57"/>
      <c r="H32" s="59" t="str">
        <f>AUXILIAR!I10</f>
        <v>Manifesto cancelado</v>
      </c>
      <c r="I32" s="60">
        <f>COUNTIF(TRATAMENTO!R:R,H32)</f>
        <v>13</v>
      </c>
      <c r="J32" s="34">
        <f t="shared" si="4"/>
        <v>0.12621359223300971</v>
      </c>
      <c r="K32" s="57"/>
      <c r="L32" s="57"/>
      <c r="M32" s="57"/>
      <c r="N32" s="57"/>
      <c r="O32" s="57"/>
      <c r="P32" s="58"/>
      <c r="Q32" s="56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8"/>
    </row>
    <row r="33" spans="2:44" ht="15.75" thickBot="1" x14ac:dyDescent="0.3">
      <c r="B33" s="56"/>
      <c r="C33" s="57"/>
      <c r="D33" s="57"/>
      <c r="E33" s="57"/>
      <c r="F33" s="57"/>
      <c r="G33" s="57"/>
      <c r="H33" s="35" t="str">
        <f>AUXILIAR!I11</f>
        <v>Outro</v>
      </c>
      <c r="I33" s="36">
        <f>COUNTIF(TRATAMENTO!R:R,H33)</f>
        <v>0</v>
      </c>
      <c r="J33" s="37">
        <f t="shared" si="4"/>
        <v>0</v>
      </c>
      <c r="K33" s="57"/>
      <c r="L33" s="57"/>
      <c r="M33" s="57"/>
      <c r="N33" s="57"/>
      <c r="O33" s="57"/>
      <c r="P33" s="58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8"/>
    </row>
    <row r="34" spans="2:44" ht="20.100000000000001" customHeight="1" thickBot="1" x14ac:dyDescent="0.3"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/>
    </row>
    <row r="35" spans="2:44" ht="20.100000000000001" customHeight="1" x14ac:dyDescent="0.2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Q35" s="22"/>
      <c r="R35" s="22"/>
      <c r="S35" s="22"/>
      <c r="T35" s="22"/>
      <c r="U35" s="22"/>
      <c r="V35" s="22"/>
      <c r="W35" s="22"/>
      <c r="X35" s="22"/>
    </row>
    <row r="36" spans="2:44" ht="20.100000000000001" customHeight="1" x14ac:dyDescent="0.25">
      <c r="G36" s="22"/>
      <c r="H36" s="22"/>
      <c r="I36" s="22"/>
      <c r="J36" s="22"/>
      <c r="K36" s="22"/>
      <c r="L36" s="22"/>
      <c r="M36" s="22"/>
      <c r="N36" s="22"/>
      <c r="O36" s="22"/>
      <c r="Q36" s="22"/>
      <c r="R36" s="22"/>
      <c r="S36" s="22"/>
      <c r="T36" s="22"/>
      <c r="U36" s="22"/>
      <c r="V36" s="22"/>
      <c r="W36" s="22"/>
      <c r="X36" s="22"/>
    </row>
    <row r="37" spans="2:44" ht="20.100000000000001" customHeight="1" x14ac:dyDescent="0.25">
      <c r="G37" s="22"/>
      <c r="H37" s="22"/>
      <c r="I37" s="22"/>
      <c r="J37" s="22"/>
      <c r="K37" s="22"/>
      <c r="L37" s="22"/>
      <c r="M37" s="22"/>
      <c r="N37" s="22"/>
      <c r="O37" s="22"/>
      <c r="Q37" s="22"/>
      <c r="R37" s="22"/>
      <c r="S37" s="22"/>
      <c r="T37" s="22"/>
      <c r="U37" s="22"/>
      <c r="V37" s="22"/>
      <c r="W37" s="22"/>
      <c r="X37" s="22"/>
    </row>
    <row r="38" spans="2:44" ht="20.100000000000001" customHeight="1" x14ac:dyDescent="0.25">
      <c r="G38" s="22"/>
      <c r="H38" s="22"/>
      <c r="I38" s="22"/>
      <c r="J38" s="22"/>
      <c r="K38" s="22"/>
      <c r="L38" s="22"/>
      <c r="M38" s="22"/>
      <c r="N38" s="22"/>
      <c r="O38" s="22"/>
      <c r="Q38" s="22"/>
      <c r="R38" s="22"/>
      <c r="S38" s="22"/>
      <c r="T38" s="22"/>
      <c r="U38" s="22"/>
      <c r="V38" s="22"/>
      <c r="W38" s="22"/>
      <c r="X38" s="22"/>
    </row>
    <row r="39" spans="2:44" ht="20.100000000000001" customHeight="1" x14ac:dyDescent="0.25">
      <c r="G39" s="22"/>
      <c r="H39" s="22"/>
      <c r="I39" s="22"/>
      <c r="J39" s="22"/>
      <c r="K39" s="22"/>
      <c r="L39" s="22"/>
      <c r="M39" s="22"/>
      <c r="N39" s="22"/>
      <c r="O39" s="22"/>
      <c r="Q39" s="22"/>
      <c r="R39" s="22"/>
      <c r="S39" s="22"/>
      <c r="T39" s="22"/>
      <c r="U39" s="22"/>
      <c r="V39" s="22"/>
      <c r="W39" s="22"/>
      <c r="X39" s="22"/>
    </row>
    <row r="40" spans="2:44" ht="20.100000000000001" customHeight="1" x14ac:dyDescent="0.25">
      <c r="G40" s="22"/>
      <c r="H40" s="22"/>
      <c r="I40" s="22"/>
      <c r="J40" s="22"/>
      <c r="K40" s="22"/>
      <c r="L40" s="22"/>
      <c r="M40" s="22"/>
      <c r="N40" s="22"/>
      <c r="O40" s="22"/>
      <c r="Q40" s="22"/>
      <c r="R40" s="22"/>
      <c r="S40" s="22"/>
      <c r="T40" s="22"/>
      <c r="U40" s="22"/>
      <c r="V40" s="22"/>
      <c r="W40" s="22"/>
      <c r="X40" s="22"/>
    </row>
    <row r="41" spans="2:44" ht="20.100000000000001" customHeight="1" x14ac:dyDescent="0.25">
      <c r="G41" s="22"/>
      <c r="H41" s="22"/>
      <c r="I41" s="22"/>
      <c r="J41" s="22"/>
      <c r="K41" s="22"/>
      <c r="L41" s="22"/>
      <c r="M41" s="22"/>
      <c r="N41" s="22"/>
      <c r="O41" s="22"/>
      <c r="Q41" s="22"/>
      <c r="R41" s="22"/>
      <c r="S41" s="22"/>
      <c r="T41" s="22"/>
      <c r="U41" s="22"/>
      <c r="V41" s="22"/>
      <c r="W41" s="22"/>
      <c r="X41" s="22"/>
    </row>
    <row r="42" spans="2:44" ht="20.100000000000001" customHeight="1" x14ac:dyDescent="0.25">
      <c r="G42" s="22"/>
      <c r="H42" s="22"/>
      <c r="I42" s="22"/>
      <c r="J42" s="22"/>
      <c r="K42" s="22"/>
      <c r="L42" s="22"/>
      <c r="M42" s="22"/>
      <c r="N42" s="22"/>
      <c r="O42" s="22"/>
      <c r="Q42" s="22"/>
      <c r="R42" s="22"/>
      <c r="S42" s="22"/>
      <c r="T42" s="22"/>
      <c r="U42" s="22"/>
      <c r="V42" s="22"/>
      <c r="W42" s="22"/>
      <c r="X42" s="22"/>
    </row>
    <row r="43" spans="2:44" ht="20.100000000000001" customHeight="1" x14ac:dyDescent="0.25">
      <c r="G43" s="22"/>
      <c r="H43" s="22"/>
      <c r="I43" s="22"/>
      <c r="J43" s="22"/>
      <c r="K43" s="22"/>
      <c r="L43" s="22"/>
      <c r="M43" s="22"/>
      <c r="N43" s="22"/>
      <c r="O43" s="22"/>
      <c r="Q43" s="22"/>
      <c r="R43" s="22"/>
      <c r="S43" s="22"/>
      <c r="T43" s="22"/>
      <c r="U43" s="22"/>
      <c r="V43" s="22"/>
      <c r="W43" s="22"/>
      <c r="X43" s="22"/>
    </row>
    <row r="44" spans="2:44" ht="20.100000000000001" customHeight="1" x14ac:dyDescent="0.25">
      <c r="G44" s="22"/>
      <c r="H44" s="22"/>
      <c r="I44" s="22"/>
      <c r="J44" s="22"/>
      <c r="K44" s="22"/>
      <c r="L44" s="22"/>
      <c r="M44" s="22"/>
      <c r="N44" s="22"/>
      <c r="O44" s="22"/>
      <c r="Q44" s="22"/>
      <c r="R44" s="22"/>
      <c r="S44" s="22"/>
      <c r="T44" s="22"/>
      <c r="U44" s="22"/>
      <c r="V44" s="22"/>
      <c r="W44" s="22"/>
      <c r="X44" s="22"/>
    </row>
    <row r="45" spans="2:44" ht="20.100000000000001" customHeight="1" x14ac:dyDescent="0.25">
      <c r="G45" s="22"/>
      <c r="H45" s="22"/>
      <c r="I45" s="22"/>
      <c r="J45" s="22"/>
      <c r="K45" s="22"/>
      <c r="L45" s="22"/>
      <c r="M45" s="22"/>
      <c r="N45" s="22"/>
      <c r="O45" s="22"/>
      <c r="Q45" s="22"/>
      <c r="R45" s="22"/>
      <c r="S45" s="22"/>
      <c r="T45" s="22"/>
      <c r="U45" s="22"/>
      <c r="V45" s="22"/>
      <c r="W45" s="22"/>
      <c r="X45" s="22"/>
    </row>
    <row r="46" spans="2:44" ht="20.100000000000001" customHeight="1" x14ac:dyDescent="0.2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Q46" s="22"/>
      <c r="R46" s="22"/>
      <c r="S46" s="22"/>
      <c r="T46" s="22"/>
      <c r="U46" s="22"/>
      <c r="V46" s="22"/>
      <c r="W46" s="22"/>
      <c r="X46" s="22"/>
    </row>
    <row r="47" spans="2:44" ht="20.100000000000001" customHeight="1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Q47" s="22"/>
      <c r="R47" s="22"/>
      <c r="S47" s="22"/>
      <c r="T47" s="22"/>
      <c r="U47" s="22"/>
      <c r="V47" s="22"/>
      <c r="W47" s="22"/>
      <c r="X47" s="22"/>
    </row>
    <row r="48" spans="2:44" ht="20.100000000000001" customHeight="1" x14ac:dyDescent="0.2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Q48" s="22"/>
      <c r="R48" s="22"/>
      <c r="S48" s="22"/>
      <c r="T48" s="22"/>
      <c r="U48" s="22"/>
      <c r="V48" s="22"/>
      <c r="W48" s="22"/>
      <c r="X48" s="22"/>
    </row>
    <row r="49" spans="2:24" ht="20.100000000000001" customHeight="1" x14ac:dyDescent="0.2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Q49" s="22"/>
      <c r="R49" s="22"/>
      <c r="S49" s="22"/>
      <c r="T49" s="22"/>
      <c r="U49" s="22"/>
      <c r="V49" s="22"/>
      <c r="W49" s="22"/>
      <c r="X49" s="22"/>
    </row>
    <row r="50" spans="2:24" ht="20.100000000000001" customHeight="1" x14ac:dyDescent="0.2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Q50" s="22"/>
      <c r="R50" s="22"/>
      <c r="S50" s="22"/>
      <c r="T50" s="22"/>
      <c r="U50" s="22"/>
      <c r="V50" s="22"/>
      <c r="W50" s="22"/>
      <c r="X50" s="22"/>
    </row>
    <row r="51" spans="2:24" ht="20.100000000000001" customHeight="1" x14ac:dyDescent="0.25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Q51" s="22"/>
      <c r="R51" s="22"/>
      <c r="S51" s="22"/>
      <c r="T51" s="22"/>
      <c r="U51" s="22"/>
      <c r="V51" s="22"/>
      <c r="W51" s="22"/>
      <c r="X51" s="22"/>
    </row>
    <row r="52" spans="2:24" ht="20.100000000000001" customHeight="1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Q52" s="22"/>
      <c r="R52" s="22"/>
      <c r="S52" s="22"/>
      <c r="T52" s="22"/>
      <c r="U52" s="22"/>
      <c r="V52" s="22"/>
      <c r="W52" s="22"/>
      <c r="X52" s="22"/>
    </row>
    <row r="53" spans="2:24" ht="20.100000000000001" customHeight="1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Q53" s="22"/>
      <c r="R53" s="22"/>
      <c r="S53" s="22"/>
      <c r="T53" s="22"/>
      <c r="U53" s="22"/>
      <c r="V53" s="22"/>
      <c r="W53" s="22"/>
      <c r="X53" s="22"/>
    </row>
    <row r="54" spans="2:24" ht="20.100000000000001" customHeight="1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Q54" s="22"/>
      <c r="R54" s="22"/>
      <c r="S54" s="22"/>
      <c r="T54" s="22"/>
      <c r="U54" s="22"/>
      <c r="V54" s="22"/>
      <c r="W54" s="22"/>
      <c r="X54" s="22"/>
    </row>
    <row r="55" spans="2:24" ht="20.100000000000001" customHeight="1" x14ac:dyDescent="0.2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Q55" s="22"/>
      <c r="R55" s="22"/>
      <c r="S55" s="22"/>
      <c r="T55" s="22"/>
      <c r="U55" s="22"/>
      <c r="V55" s="22"/>
      <c r="W55" s="22"/>
      <c r="X55" s="22"/>
    </row>
    <row r="56" spans="2:24" ht="20.100000000000001" customHeight="1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Q56" s="22"/>
      <c r="R56" s="22"/>
      <c r="S56" s="22"/>
      <c r="T56" s="22"/>
      <c r="U56" s="22"/>
      <c r="V56" s="22"/>
      <c r="W56" s="22"/>
      <c r="X56" s="22"/>
    </row>
    <row r="57" spans="2:24" ht="20.100000000000001" customHeight="1" x14ac:dyDescent="0.2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Q57" s="22"/>
      <c r="R57" s="22"/>
      <c r="S57" s="22"/>
      <c r="T57" s="22"/>
      <c r="U57" s="22"/>
      <c r="V57" s="22"/>
      <c r="W57" s="22"/>
      <c r="X57" s="22"/>
    </row>
    <row r="58" spans="2:24" ht="20.100000000000001" customHeight="1" x14ac:dyDescent="0.2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Q58" s="22"/>
      <c r="R58" s="22"/>
      <c r="S58" s="22"/>
      <c r="T58" s="22"/>
      <c r="U58" s="22"/>
      <c r="V58" s="22"/>
      <c r="W58" s="22"/>
      <c r="X58" s="22"/>
    </row>
    <row r="59" spans="2:24" ht="20.100000000000001" customHeight="1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Q59" s="22"/>
      <c r="R59" s="22"/>
      <c r="S59" s="22"/>
      <c r="T59" s="22"/>
      <c r="U59" s="22"/>
      <c r="V59" s="22"/>
      <c r="W59" s="22"/>
      <c r="X59" s="22"/>
    </row>
    <row r="60" spans="2:24" ht="20.100000000000001" customHeight="1" x14ac:dyDescent="0.2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Q60" s="22"/>
      <c r="R60" s="22"/>
      <c r="S60" s="22"/>
      <c r="T60" s="22"/>
      <c r="U60" s="22"/>
      <c r="V60" s="22"/>
      <c r="W60" s="22"/>
      <c r="X60" s="22"/>
    </row>
    <row r="61" spans="2:24" ht="20.100000000000001" customHeight="1" x14ac:dyDescent="0.25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Q61" s="22"/>
      <c r="R61" s="22"/>
      <c r="S61" s="22"/>
      <c r="T61" s="22"/>
      <c r="U61" s="22"/>
      <c r="V61" s="22"/>
      <c r="W61" s="22"/>
      <c r="X61" s="22"/>
    </row>
    <row r="62" spans="2:24" ht="20.100000000000001" customHeight="1" x14ac:dyDescent="0.2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Q62" s="22"/>
      <c r="R62" s="22"/>
      <c r="S62" s="22"/>
      <c r="T62" s="22"/>
      <c r="U62" s="22"/>
      <c r="V62" s="22"/>
      <c r="W62" s="22"/>
      <c r="X62" s="22"/>
    </row>
    <row r="63" spans="2:24" ht="20.100000000000001" customHeight="1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Q63" s="22"/>
      <c r="R63" s="22"/>
      <c r="S63" s="22"/>
      <c r="T63" s="22"/>
      <c r="U63" s="22"/>
      <c r="V63" s="22"/>
      <c r="W63" s="22"/>
      <c r="X63" s="22"/>
    </row>
    <row r="64" spans="2:24" ht="20.100000000000001" customHeight="1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Q64" s="22"/>
      <c r="R64" s="22"/>
      <c r="S64" s="22"/>
      <c r="T64" s="22"/>
      <c r="U64" s="22"/>
      <c r="V64" s="22"/>
    </row>
    <row r="65" spans="2:22" ht="20.100000000000001" customHeight="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Q65" s="22"/>
      <c r="R65" s="22"/>
      <c r="S65" s="22"/>
      <c r="T65" s="22"/>
      <c r="U65" s="22"/>
      <c r="V65" s="22"/>
    </row>
    <row r="66" spans="2:22" ht="20.100000000000001" customHeight="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Q66" s="22"/>
      <c r="R66" s="22"/>
      <c r="S66" s="22"/>
      <c r="T66" s="22"/>
      <c r="U66" s="22"/>
      <c r="V66" s="22"/>
    </row>
    <row r="67" spans="2:22" ht="20.100000000000001" customHeight="1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Q67" s="22"/>
      <c r="R67" s="22"/>
      <c r="S67" s="22"/>
      <c r="T67" s="22"/>
      <c r="U67" s="22"/>
      <c r="V67" s="22"/>
    </row>
    <row r="68" spans="2:22" ht="20.100000000000001" customHeight="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Q68" s="22"/>
      <c r="R68" s="22"/>
      <c r="S68" s="22"/>
      <c r="T68" s="22"/>
      <c r="U68" s="22"/>
      <c r="V68" s="22"/>
    </row>
    <row r="69" spans="2:22" ht="20.100000000000001" customHeight="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Q69" s="22"/>
      <c r="R69" s="22"/>
      <c r="S69" s="22"/>
      <c r="T69" s="22"/>
      <c r="U69" s="22"/>
      <c r="V69" s="22"/>
    </row>
    <row r="70" spans="2:22" ht="20.100000000000001" customHeight="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Q70" s="22"/>
      <c r="R70" s="22"/>
      <c r="S70" s="22"/>
      <c r="T70" s="22"/>
      <c r="U70" s="22"/>
      <c r="V70" s="22"/>
    </row>
    <row r="71" spans="2:22" ht="20.100000000000001" customHeight="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Q71" s="22"/>
      <c r="R71" s="22"/>
      <c r="S71" s="22"/>
      <c r="T71" s="22"/>
      <c r="U71" s="22"/>
      <c r="V71" s="22"/>
    </row>
    <row r="72" spans="2:22" ht="20.100000000000001" customHeight="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Q72" s="22"/>
      <c r="R72" s="22"/>
      <c r="S72" s="22"/>
      <c r="T72" s="22"/>
      <c r="U72" s="22"/>
      <c r="V72" s="22"/>
    </row>
    <row r="73" spans="2:22" ht="20.100000000000001" customHeight="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Q73" s="22"/>
      <c r="R73" s="22"/>
      <c r="S73" s="22"/>
      <c r="T73" s="22"/>
      <c r="U73" s="22"/>
      <c r="V73" s="22"/>
    </row>
    <row r="74" spans="2:22" ht="20.100000000000001" customHeight="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Q74" s="22"/>
      <c r="R74" s="22"/>
      <c r="S74" s="22"/>
      <c r="T74" s="22"/>
      <c r="U74" s="22"/>
      <c r="V74" s="22"/>
    </row>
    <row r="75" spans="2:22" ht="20.100000000000001" customHeight="1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Q75" s="22"/>
      <c r="R75" s="22"/>
      <c r="S75" s="22"/>
      <c r="T75" s="22"/>
      <c r="U75" s="22"/>
      <c r="V75" s="22"/>
    </row>
    <row r="76" spans="2:22" ht="20.100000000000001" customHeight="1" x14ac:dyDescent="0.25"/>
    <row r="77" spans="2:22" ht="20.100000000000001" customHeight="1" x14ac:dyDescent="0.25"/>
    <row r="78" spans="2:22" ht="20.100000000000001" customHeight="1" x14ac:dyDescent="0.25"/>
    <row r="79" spans="2:22" ht="20.100000000000001" customHeight="1" x14ac:dyDescent="0.25"/>
    <row r="80" spans="2:22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</sheetData>
  <mergeCells count="24">
    <mergeCell ref="L22:N22"/>
    <mergeCell ref="J6:K7"/>
    <mergeCell ref="L6:M7"/>
    <mergeCell ref="B5:C5"/>
    <mergeCell ref="H5:I5"/>
    <mergeCell ref="J5:K5"/>
    <mergeCell ref="F5:G5"/>
    <mergeCell ref="L5:M5"/>
    <mergeCell ref="Q2:AR3"/>
    <mergeCell ref="B2:P3"/>
    <mergeCell ref="H22:J22"/>
    <mergeCell ref="N11:O11"/>
    <mergeCell ref="B22:F22"/>
    <mergeCell ref="B4:O4"/>
    <mergeCell ref="N5:O5"/>
    <mergeCell ref="B9:O9"/>
    <mergeCell ref="F6:G7"/>
    <mergeCell ref="H6:I7"/>
    <mergeCell ref="N6:O7"/>
    <mergeCell ref="D5:E5"/>
    <mergeCell ref="B11:F11"/>
    <mergeCell ref="H11:L11"/>
    <mergeCell ref="B6:C7"/>
    <mergeCell ref="D6:E7"/>
  </mergeCells>
  <conditionalFormatting sqref="F13:F20">
    <cfRule type="cellIs" dxfId="301" priority="1" operator="lessThan">
      <formula>0.85</formula>
    </cfRule>
    <cfRule type="cellIs" dxfId="300" priority="2" operator="between">
      <formula>0.85</formula>
      <formula>0.949</formula>
    </cfRule>
    <cfRule type="cellIs" dxfId="299" priority="3" operator="greaterThanOrEqual">
      <formula>0.95</formula>
    </cfRule>
  </conditionalFormatting>
  <conditionalFormatting sqref="L13:L20">
    <cfRule type="cellIs" dxfId="298" priority="4" operator="lessThan">
      <formula>0.85</formula>
    </cfRule>
    <cfRule type="cellIs" dxfId="297" priority="5" operator="between">
      <formula>0.85</formula>
      <formula>0.949</formula>
    </cfRule>
    <cfRule type="cellIs" dxfId="296" priority="6" operator="greaterThanOrEqual">
      <formula>0.95</formula>
    </cfRule>
  </conditionalFormatting>
  <pageMargins left="0.75" right="0.75" top="1" bottom="1" header="0.5" footer="0.5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4CEC-9A5A-445C-9C4A-A494BE19D77F}">
  <sheetPr>
    <tabColor theme="4" tint="0.59999389629810485"/>
  </sheetPr>
  <dimension ref="B1:AA104"/>
  <sheetViews>
    <sheetView workbookViewId="0">
      <selection activeCell="L27" sqref="L27"/>
    </sheetView>
  </sheetViews>
  <sheetFormatPr defaultRowHeight="15" x14ac:dyDescent="0.25"/>
  <cols>
    <col min="1" max="1" width="4.140625" style="74" customWidth="1"/>
    <col min="2" max="2" width="17.85546875" style="74" customWidth="1"/>
    <col min="3" max="3" width="10.140625" style="74" customWidth="1"/>
    <col min="4" max="6" width="14" style="74" customWidth="1"/>
    <col min="7" max="7" width="8.7109375" style="74" customWidth="1"/>
    <col min="8" max="8" width="21.140625" style="74" bestFit="1" customWidth="1"/>
    <col min="9" max="9" width="14" style="74" customWidth="1"/>
    <col min="10" max="10" width="11.42578125" style="74" customWidth="1"/>
    <col min="11" max="11" width="8.7109375" style="74" customWidth="1"/>
    <col min="12" max="12" width="16.42578125" style="74" bestFit="1" customWidth="1"/>
    <col min="13" max="13" width="14" style="74" customWidth="1"/>
    <col min="14" max="14" width="17.140625" style="74" customWidth="1"/>
    <col min="15" max="15" width="5.42578125" style="74" customWidth="1"/>
    <col min="16" max="16" width="4.5703125" style="74" customWidth="1"/>
    <col min="17" max="16384" width="9.140625" style="74"/>
  </cols>
  <sheetData>
    <row r="1" spans="2:27" ht="15.75" thickBot="1" x14ac:dyDescent="0.3"/>
    <row r="2" spans="2:27" ht="20.100000000000001" customHeight="1" x14ac:dyDescent="0.25">
      <c r="B2" s="92" t="s">
        <v>146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36" t="s">
        <v>129</v>
      </c>
      <c r="R2" s="131"/>
      <c r="S2" s="131"/>
      <c r="T2" s="131"/>
      <c r="U2" s="131"/>
      <c r="V2" s="131"/>
      <c r="W2" s="131"/>
      <c r="X2" s="131"/>
      <c r="Y2" s="131"/>
      <c r="Z2" s="131"/>
      <c r="AA2" s="132"/>
    </row>
    <row r="3" spans="2:27" ht="20.100000000000001" customHeight="1" x14ac:dyDescent="0.25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5"/>
    </row>
    <row r="4" spans="2:27" ht="20.100000000000001" customHeight="1" x14ac:dyDescent="0.25">
      <c r="B4" s="101" t="s">
        <v>33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75"/>
      <c r="Q4" s="76"/>
      <c r="R4" s="77"/>
      <c r="S4" s="77"/>
      <c r="T4" s="77"/>
      <c r="U4" s="77"/>
      <c r="V4" s="77"/>
      <c r="W4" s="77"/>
      <c r="X4" s="77"/>
      <c r="Y4" s="77"/>
      <c r="Z4" s="77"/>
      <c r="AA4" s="78"/>
    </row>
    <row r="5" spans="2:27" ht="33" customHeight="1" x14ac:dyDescent="0.25">
      <c r="B5" s="138" t="s">
        <v>143</v>
      </c>
      <c r="C5" s="139"/>
      <c r="D5" s="140" t="s">
        <v>128</v>
      </c>
      <c r="E5" s="139"/>
      <c r="F5" s="141" t="s">
        <v>72</v>
      </c>
      <c r="G5" s="142"/>
      <c r="H5" s="141" t="s">
        <v>36</v>
      </c>
      <c r="I5" s="142"/>
      <c r="J5" s="141" t="s">
        <v>37</v>
      </c>
      <c r="K5" s="142"/>
      <c r="L5" s="140" t="s">
        <v>144</v>
      </c>
      <c r="M5" s="139"/>
      <c r="N5" s="143" t="s">
        <v>125</v>
      </c>
      <c r="O5" s="144"/>
      <c r="P5" s="78"/>
      <c r="Q5" s="76"/>
      <c r="R5" s="77"/>
      <c r="S5" s="77"/>
      <c r="T5" s="77"/>
      <c r="U5" s="77"/>
      <c r="V5" s="77"/>
      <c r="W5" s="77"/>
      <c r="X5" s="77"/>
      <c r="Y5" s="77"/>
      <c r="Z5" s="77"/>
      <c r="AA5" s="78"/>
    </row>
    <row r="6" spans="2:27" ht="15" customHeight="1" x14ac:dyDescent="0.25">
      <c r="B6" s="115">
        <f>IFERROR(COUNTIFS(TRATAMENTO!B:B,"Loja ADE",TRATAMENTO!K:K,"OK")/(COUNTIFS(TRATAMENTO!B:B,"Loja ADE",TRATAMENTO!K:K,"OK")+COUNTIFS(TRATAMENTO!B:B,"Loja ADE",TRATAMENTO!K:K,"NOK")),0)</f>
        <v>0.65789473684210531</v>
      </c>
      <c r="C6" s="129"/>
      <c r="D6" s="107">
        <f>IFERROR(SUMIFS(TRATAMENTO!V5:V500,TRATAMENTO!B5:B500,"Loja ADE",TRATAMENTO!V5:V500,"&gt;0")/COUNTIFS(TRATAMENTO!B5:B500,"Loja ADE",TRATAMENTO!V5:V500,"&gt;0"),0)</f>
        <v>0.92413793103448283</v>
      </c>
      <c r="E6" s="129"/>
      <c r="F6" s="107">
        <f>IFERROR(COUNTIFS(CONTROLE_DIARIO!B6:B500,"Loja ADE",CONTROLE_DIARIO!F6:F500,"SIM")/(COUNTIFS(CONTROLE_DIARIO!B6:B500,"Loja ADE",CONTROLE_DIARIO!F6:F500,"SIM")+COUNTIFS(CONTROLE_DIARIO!B6:B500,"Loja ADE",CONTROLE_DIARIO!F6:F500,"NÃO")),0)</f>
        <v>0.93103448275862066</v>
      </c>
      <c r="G6" s="129"/>
      <c r="H6" s="107">
        <f>IFERROR(COUNTIFS(CONTROLE_DIARIO!B6:B500,"Loja ADE",CONTROLE_DIARIO!J6:J500,"SIM")/(COUNTIFS(CONTROLE_DIARIO!B6:B500,"Loja ADE",CONTROLE_DIARIO!J6:J500,"SIM")+COUNTIFS(CONTROLE_DIARIO!B6:B500,"Loja ADE",CONTROLE_DIARIO!J6:J500,"NÃO")),0)</f>
        <v>0.69444444444444442</v>
      </c>
      <c r="I6" s="129"/>
      <c r="J6" s="107">
        <f>IFERROR(COUNTIFS(CONTROLE_DIARIO!B6:B500,"Loja ADE",CONTROLE_DIARIO!I6:I500,"SIM")/(COUNTIFS(CONTROLE_DIARIO!B6:B500,"Loja ADE",CONTROLE_DIARIO!I6:I500,"SIM")+COUNTIFS(CONTROLE_DIARIO!B6:B500,"Loja ADE",CONTROLE_DIARIO!I6:I500,"NÃO")),0)</f>
        <v>1</v>
      </c>
      <c r="K6" s="129"/>
      <c r="L6" s="120">
        <f>IFERROR(COUNTIFS(TRATAMENTO!B:B,"Loja ADE",TRATAMENTO!K:K,"NOK")/(COUNTIFS(TRATAMENTO!B:B,"Loja ADE",TRATAMENTO!K:K,"OK")+COUNTIFS(TRATAMENTO!B:B,"Loja ADE",TRATAMENTO!K:K,"NOK")),0)</f>
        <v>0.34210526315789475</v>
      </c>
      <c r="M6" s="129">
        <v>0</v>
      </c>
      <c r="N6" s="126">
        <f>COUNTIF(CONTROLE_DIARIO!B:B,"Loja ADE")</f>
        <v>38</v>
      </c>
      <c r="O6" s="126"/>
      <c r="P6" s="78"/>
      <c r="Q6" s="76"/>
      <c r="R6" s="77"/>
      <c r="S6" s="77"/>
      <c r="T6" s="77"/>
      <c r="U6" s="77"/>
      <c r="V6" s="77"/>
      <c r="W6" s="77"/>
      <c r="X6" s="77"/>
      <c r="Y6" s="77"/>
      <c r="Z6" s="77"/>
      <c r="AA6" s="78"/>
    </row>
    <row r="7" spans="2:27" ht="42" customHeight="1" x14ac:dyDescent="0.25">
      <c r="B7" s="130"/>
      <c r="C7" s="129"/>
      <c r="D7" s="129"/>
      <c r="E7" s="129"/>
      <c r="F7" s="129"/>
      <c r="G7" s="129"/>
      <c r="H7" s="129"/>
      <c r="I7" s="129"/>
      <c r="J7" s="129"/>
      <c r="K7" s="129"/>
      <c r="L7" s="129">
        <v>0.20689655172413793</v>
      </c>
      <c r="M7" s="129">
        <v>0</v>
      </c>
      <c r="N7" s="126"/>
      <c r="O7" s="126"/>
      <c r="P7" s="78"/>
      <c r="Q7" s="76"/>
      <c r="R7" s="77"/>
      <c r="S7" s="77"/>
      <c r="T7" s="77"/>
      <c r="U7" s="77"/>
      <c r="V7" s="77"/>
      <c r="W7" s="77"/>
      <c r="X7" s="77"/>
      <c r="Y7" s="77"/>
      <c r="Z7" s="77"/>
      <c r="AA7" s="78"/>
    </row>
    <row r="8" spans="2:27" x14ac:dyDescent="0.25"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8"/>
      <c r="Q8" s="76"/>
      <c r="R8" s="77"/>
      <c r="S8" s="77"/>
      <c r="T8" s="77"/>
      <c r="U8" s="77"/>
      <c r="V8" s="77"/>
      <c r="W8" s="77"/>
      <c r="X8" s="77"/>
      <c r="Y8" s="77"/>
      <c r="Z8" s="77"/>
      <c r="AA8" s="78"/>
    </row>
    <row r="9" spans="2:27" ht="20.100000000000001" customHeight="1" x14ac:dyDescent="0.25">
      <c r="B9" s="127" t="s">
        <v>38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78"/>
      <c r="Q9" s="76"/>
      <c r="R9" s="77"/>
      <c r="S9" s="77"/>
      <c r="T9" s="77"/>
      <c r="U9" s="77"/>
      <c r="V9" s="77"/>
      <c r="W9" s="77"/>
      <c r="X9" s="77"/>
      <c r="Y9" s="77"/>
      <c r="Z9" s="77"/>
      <c r="AA9" s="78"/>
    </row>
    <row r="10" spans="2:27" ht="15.75" thickBot="1" x14ac:dyDescent="0.3"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8"/>
      <c r="Q10" s="76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2:27" ht="20.100000000000001" customHeight="1" x14ac:dyDescent="0.25">
      <c r="B11" s="98" t="s">
        <v>58</v>
      </c>
      <c r="C11" s="99"/>
      <c r="D11" s="99"/>
      <c r="E11" s="99"/>
      <c r="F11" s="100"/>
      <c r="G11" s="77"/>
      <c r="H11" s="98" t="s">
        <v>44</v>
      </c>
      <c r="I11" s="99"/>
      <c r="J11" s="100"/>
      <c r="K11" s="77"/>
      <c r="L11" s="117" t="s">
        <v>145</v>
      </c>
      <c r="M11" s="118"/>
      <c r="N11" s="119"/>
      <c r="O11" s="77"/>
      <c r="P11" s="78"/>
      <c r="Q11" s="76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2:27" ht="20.100000000000001" customHeight="1" x14ac:dyDescent="0.25">
      <c r="B12" s="26" t="s">
        <v>28</v>
      </c>
      <c r="C12" s="5" t="s">
        <v>59</v>
      </c>
      <c r="D12" s="5" t="s">
        <v>42</v>
      </c>
      <c r="E12" s="5" t="s">
        <v>43</v>
      </c>
      <c r="F12" s="27" t="s">
        <v>34</v>
      </c>
      <c r="G12" s="77"/>
      <c r="H12" s="26" t="s">
        <v>46</v>
      </c>
      <c r="I12" s="5" t="s">
        <v>47</v>
      </c>
      <c r="J12" s="27" t="s">
        <v>48</v>
      </c>
      <c r="K12" s="77"/>
      <c r="L12" s="66" t="s">
        <v>49</v>
      </c>
      <c r="M12" s="65" t="s">
        <v>47</v>
      </c>
      <c r="N12" s="67" t="s">
        <v>48</v>
      </c>
      <c r="O12" s="77"/>
      <c r="P12" s="78"/>
      <c r="Q12" s="76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2:27" ht="20.100000000000001" customHeight="1" x14ac:dyDescent="0.25">
      <c r="B13" s="62">
        <v>46113</v>
      </c>
      <c r="C13" s="3">
        <f>COUNTIFS(TRATAMENTO!B:B,"Loja ADE",TRATAMENTO!A:A,"&gt;="&amp;B13,TRATAMENTO!A:A,"&lt;"&amp;EDATE(B13,1))</f>
        <v>8</v>
      </c>
      <c r="D13" s="3">
        <f>COUNTIFS(TRATAMENTO!B:B,"Loja ADE",TRATAMENTO!A:A,"&gt;="&amp;B13,TRATAMENTO!A:A,"&lt;"&amp;EDATE(B13,1),TRATAMENTO!K:K,"OK")</f>
        <v>6</v>
      </c>
      <c r="E13" s="3">
        <f>COUNTIFS(TRATAMENTO!B:B,"Loja ADE",TRATAMENTO!A:A,"&gt;="&amp;B13,TRATAMENTO!A:A,"&lt;"&amp;EDATE(B13,1),TRATAMENTO!K:K,"NOK")</f>
        <v>2</v>
      </c>
      <c r="F13" s="34">
        <f t="shared" ref="F13:F21" si="0">IFERROR(D13/C13,0)</f>
        <v>0.75</v>
      </c>
      <c r="G13" s="77"/>
      <c r="H13" s="33" t="str">
        <f>AUXILIAR!I3</f>
        <v>Sem assinatura</v>
      </c>
      <c r="I13" s="3">
        <f>COUNTIFS(TRATAMENTO!B:B,"Loja ADE",TRATAMENTO!R:R,H13)</f>
        <v>2</v>
      </c>
      <c r="J13" s="34">
        <f>IFERROR(I13/SUM($I$13:$I$22),0)</f>
        <v>0.2</v>
      </c>
      <c r="K13" s="77"/>
      <c r="L13" s="79" t="s">
        <v>42</v>
      </c>
      <c r="M13" s="80">
        <f>COUNTIFS(TRATAMENTO!B:B,"Loja ADE",TRATAMENTO!K:K,"OK")</f>
        <v>25</v>
      </c>
      <c r="N13" s="81">
        <f>IFERROR(M13/(M13+M14),0)</f>
        <v>0.65789473684210531</v>
      </c>
      <c r="O13" s="77"/>
      <c r="P13" s="78"/>
      <c r="Q13" s="76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2:27" ht="20.100000000000001" customHeight="1" thickBot="1" x14ac:dyDescent="0.3">
      <c r="B14" s="62">
        <v>46143</v>
      </c>
      <c r="C14" s="3">
        <f>COUNTIFS(TRATAMENTO!B:B,"Loja ADE",TRATAMENTO!A:A,"&gt;="&amp;B14,TRATAMENTO!A:A,"&lt;"&amp;EDATE(B14,1))</f>
        <v>30</v>
      </c>
      <c r="D14" s="3">
        <f>COUNTIFS(TRATAMENTO!B:B,"Loja ADE",TRATAMENTO!A:A,"&gt;="&amp;B14,TRATAMENTO!A:A,"&lt;"&amp;EDATE(B14,1),TRATAMENTO!K:K,"OK")</f>
        <v>19</v>
      </c>
      <c r="E14" s="3">
        <f>COUNTIFS(TRATAMENTO!B:B,"Loja ADE",TRATAMENTO!A:A,"&gt;="&amp;B14,TRATAMENTO!A:A,"&lt;"&amp;EDATE(B14,1),TRATAMENTO!K:K,"NOK")</f>
        <v>11</v>
      </c>
      <c r="F14" s="34">
        <f t="shared" si="0"/>
        <v>0.6333333333333333</v>
      </c>
      <c r="G14" s="77"/>
      <c r="H14" s="33" t="str">
        <f>AUXILIAR!I4</f>
        <v>Sem nenhuma foto</v>
      </c>
      <c r="I14" s="3">
        <f>COUNTIFS(TRATAMENTO!B:B,"Loja ADE",TRATAMENTO!L:L,H14)</f>
        <v>0</v>
      </c>
      <c r="J14" s="34">
        <f t="shared" ref="J14:J22" si="1">IFERROR(I14/SUM($I$13:$I$22),0)</f>
        <v>0</v>
      </c>
      <c r="K14" s="77"/>
      <c r="L14" s="82" t="s">
        <v>43</v>
      </c>
      <c r="M14" s="83">
        <f>COUNTIFS(TRATAMENTO!B:B,"Loja ADE",TRATAMENTO!K:K,"NOK")</f>
        <v>13</v>
      </c>
      <c r="N14" s="84">
        <f>IFERROR(M14/(M13+M14),0)</f>
        <v>0.34210526315789475</v>
      </c>
      <c r="O14" s="77"/>
      <c r="P14" s="78"/>
      <c r="Q14" s="76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2:27" ht="20.100000000000001" customHeight="1" thickBot="1" x14ac:dyDescent="0.3">
      <c r="B15" s="62">
        <v>46174</v>
      </c>
      <c r="C15" s="3">
        <f>COUNTIFS(TRATAMENTO!B:B,"Loja ADE",TRATAMENTO!A:A,"&gt;="&amp;B15,TRATAMENTO!A:A,"&lt;"&amp;EDATE(B15,1))</f>
        <v>0</v>
      </c>
      <c r="D15" s="3">
        <f>COUNTIFS(TRATAMENTO!B:B,"Loja ADE",TRATAMENTO!A:A,"&gt;="&amp;B15,TRATAMENTO!A:A,"&lt;"&amp;EDATE(B15,1),TRATAMENTO!K:K,"OK")</f>
        <v>0</v>
      </c>
      <c r="E15" s="3">
        <f>COUNTIFS(TRATAMENTO!B:B,"Loja ADE",TRATAMENTO!A:A,"&gt;="&amp;B15,TRATAMENTO!A:A,"&lt;"&amp;EDATE(B15,1),TRATAMENTO!K:K,"NOK")</f>
        <v>0</v>
      </c>
      <c r="F15" s="34">
        <f t="shared" si="0"/>
        <v>0</v>
      </c>
      <c r="G15" s="77"/>
      <c r="H15" s="33" t="str">
        <f>AUXILIAR!I5</f>
        <v>Sem foto fachada</v>
      </c>
      <c r="I15" s="3">
        <f>COUNTIFS(TRATAMENTO!B:B,"Loja ADE",TRATAMENTO!L:L,H15)</f>
        <v>5</v>
      </c>
      <c r="J15" s="34">
        <f t="shared" si="1"/>
        <v>0.5</v>
      </c>
      <c r="K15" s="77"/>
      <c r="L15" s="77"/>
      <c r="M15" s="77"/>
      <c r="N15" s="77"/>
      <c r="O15" s="77"/>
      <c r="P15" s="78"/>
      <c r="Q15" s="76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2:27" ht="20.100000000000001" customHeight="1" x14ac:dyDescent="0.25">
      <c r="B16" s="62">
        <v>46204</v>
      </c>
      <c r="C16" s="3">
        <f>COUNTIFS(TRATAMENTO!B:B,"Loja ADE",TRATAMENTO!A:A,"&gt;="&amp;B16,TRATAMENTO!A:A,"&lt;"&amp;EDATE(B16,1))</f>
        <v>0</v>
      </c>
      <c r="D16" s="3">
        <f>COUNTIFS(TRATAMENTO!B:B,"Loja ADE",TRATAMENTO!A:A,"&gt;="&amp;B16,TRATAMENTO!A:A,"&lt;"&amp;EDATE(B16,1),TRATAMENTO!K:K,"OK")</f>
        <v>0</v>
      </c>
      <c r="E16" s="3">
        <f>COUNTIFS(TRATAMENTO!B:B,"Loja ADE",TRATAMENTO!A:A,"&gt;="&amp;B16,TRATAMENTO!A:A,"&lt;"&amp;EDATE(B16,1),TRATAMENTO!K:K,"NOK")</f>
        <v>0</v>
      </c>
      <c r="F16" s="34">
        <f t="shared" si="0"/>
        <v>0</v>
      </c>
      <c r="G16" s="77"/>
      <c r="H16" s="33" t="str">
        <f>AUXILIAR!I6</f>
        <v>Sem foto produtos</v>
      </c>
      <c r="I16" s="3">
        <f>COUNTIFS(TRATAMENTO!B:B,"Loja ADE",TRATAMENTO!L:L,H16)</f>
        <v>0</v>
      </c>
      <c r="J16" s="34">
        <f t="shared" si="1"/>
        <v>0</v>
      </c>
      <c r="K16" s="77"/>
      <c r="L16" s="98" t="s">
        <v>45</v>
      </c>
      <c r="M16" s="100"/>
      <c r="N16" s="77"/>
      <c r="O16" s="77"/>
      <c r="P16" s="78"/>
      <c r="Q16" s="76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2:27" ht="20.100000000000001" customHeight="1" x14ac:dyDescent="0.25">
      <c r="B17" s="62">
        <v>46235</v>
      </c>
      <c r="C17" s="3">
        <f>COUNTIFS(TRATAMENTO!B:B,"Loja ADE",TRATAMENTO!A:A,"&gt;="&amp;B17,TRATAMENTO!A:A,"&lt;"&amp;EDATE(B17,1))</f>
        <v>0</v>
      </c>
      <c r="D17" s="3">
        <f>COUNTIFS(TRATAMENTO!B:B,"Loja ADE",TRATAMENTO!A:A,"&gt;="&amp;B17,TRATAMENTO!A:A,"&lt;"&amp;EDATE(B17,1),TRATAMENTO!K:K,"OK")</f>
        <v>0</v>
      </c>
      <c r="E17" s="3">
        <f>COUNTIFS(TRATAMENTO!B:B,"Loja ADE",TRATAMENTO!A:A,"&gt;="&amp;B17,TRATAMENTO!A:A,"&lt;"&amp;EDATE(B17,1),TRATAMENTO!K:K,"NOK")</f>
        <v>0</v>
      </c>
      <c r="F17" s="34">
        <f t="shared" si="0"/>
        <v>0</v>
      </c>
      <c r="G17" s="77"/>
      <c r="H17" s="33" t="str">
        <f>AUXILIAR!I7</f>
        <v>Sem fotos e assinatura</v>
      </c>
      <c r="I17" s="3">
        <f>COUNTIFS(TRATAMENTO!B:B,"Loja ADE",TRATAMENTO!R:R,H17)</f>
        <v>0</v>
      </c>
      <c r="J17" s="34">
        <f t="shared" si="1"/>
        <v>0</v>
      </c>
      <c r="K17" s="77"/>
      <c r="L17" s="26" t="s">
        <v>49</v>
      </c>
      <c r="M17" s="27" t="s">
        <v>47</v>
      </c>
      <c r="N17" s="77"/>
      <c r="O17" s="77"/>
      <c r="P17" s="78"/>
      <c r="Q17" s="76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2:27" ht="20.100000000000001" customHeight="1" x14ac:dyDescent="0.25">
      <c r="B18" s="62">
        <v>46266</v>
      </c>
      <c r="C18" s="3">
        <f>COUNTIFS(TRATAMENTO!B:B,"Loja ADE",TRATAMENTO!A:A,"&gt;="&amp;B18,TRATAMENTO!A:A,"&lt;"&amp;EDATE(B18,1))</f>
        <v>0</v>
      </c>
      <c r="D18" s="3">
        <f>COUNTIFS(TRATAMENTO!B:B,"Loja ADE",TRATAMENTO!A:A,"&gt;="&amp;B18,TRATAMENTO!A:A,"&lt;"&amp;EDATE(B18,1),TRATAMENTO!K:K,"OK")</f>
        <v>0</v>
      </c>
      <c r="E18" s="3">
        <f>COUNTIFS(TRATAMENTO!B:B,"Loja ADE",TRATAMENTO!A:A,"&gt;="&amp;B18,TRATAMENTO!A:A,"&lt;"&amp;EDATE(B18,1),TRATAMENTO!K:K,"NOK")</f>
        <v>0</v>
      </c>
      <c r="F18" s="34">
        <f t="shared" si="0"/>
        <v>0</v>
      </c>
      <c r="G18" s="77"/>
      <c r="H18" s="33" t="str">
        <f>AUXILIAR!I8</f>
        <v>Não conferido</v>
      </c>
      <c r="I18" s="3">
        <f>COUNTIFS(TRATAMENTO!B:B,"Loja ADE",TRATAMENTO!R:R,H18)</f>
        <v>0</v>
      </c>
      <c r="J18" s="34">
        <f t="shared" si="1"/>
        <v>0</v>
      </c>
      <c r="K18" s="77"/>
      <c r="L18" s="85" t="str">
        <f>AUXILIAR!G2</f>
        <v>Entrega Total</v>
      </c>
      <c r="M18" s="29">
        <f>COUNTIFS(CONTROLE_DIARIO!B:B,"Loja ADE",CONTROLE_DIARIO!E:E,L18)</f>
        <v>29</v>
      </c>
      <c r="N18" s="77"/>
      <c r="O18" s="77"/>
      <c r="P18" s="78"/>
      <c r="Q18" s="76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2:27" ht="20.100000000000001" customHeight="1" x14ac:dyDescent="0.25">
      <c r="B19" s="62">
        <v>46296</v>
      </c>
      <c r="C19" s="3">
        <f>COUNTIFS(TRATAMENTO!B:B,"Loja ADE",TRATAMENTO!A:A,"&gt;="&amp;B19,TRATAMENTO!A:A,"&lt;"&amp;EDATE(B19,1))</f>
        <v>0</v>
      </c>
      <c r="D19" s="3">
        <f>COUNTIFS(TRATAMENTO!B:B,"Loja ADE",TRATAMENTO!A:A,"&gt;="&amp;B19,TRATAMENTO!A:A,"&lt;"&amp;EDATE(B19,1),TRATAMENTO!K:K,"OK")</f>
        <v>0</v>
      </c>
      <c r="E19" s="3">
        <f>COUNTIFS(TRATAMENTO!B:B,"Loja ADE",TRATAMENTO!A:A,"&gt;="&amp;B19,TRATAMENTO!A:A,"&lt;"&amp;EDATE(B19,1),TRATAMENTO!K:K,"NOK")</f>
        <v>0</v>
      </c>
      <c r="F19" s="34">
        <f t="shared" si="0"/>
        <v>0</v>
      </c>
      <c r="G19" s="77"/>
      <c r="H19" s="33" t="str">
        <f>AUXILIAR!I9</f>
        <v>Não baixado</v>
      </c>
      <c r="I19" s="3">
        <f>COUNTIFS(TRATAMENTO!B:B,"Loja ADE",TRATAMENTO!R:R,H19)</f>
        <v>0</v>
      </c>
      <c r="J19" s="34">
        <f t="shared" si="1"/>
        <v>0</v>
      </c>
      <c r="K19" s="77"/>
      <c r="L19" s="85" t="str">
        <f>AUXILIAR!G3</f>
        <v>Retorno Total</v>
      </c>
      <c r="M19" s="29">
        <f>COUNTIFS(CONTROLE_DIARIO!B:B,"Loja ADE",CONTROLE_DIARIO!E:E,L19)</f>
        <v>1</v>
      </c>
      <c r="N19" s="77"/>
      <c r="O19" s="77"/>
      <c r="P19" s="78"/>
      <c r="Q19" s="76"/>
      <c r="R19" s="77"/>
      <c r="S19" s="77"/>
      <c r="T19" s="77"/>
      <c r="U19" s="77"/>
      <c r="V19" s="77"/>
      <c r="W19" s="77"/>
      <c r="X19" s="77"/>
      <c r="Y19" s="77"/>
      <c r="Z19" s="77"/>
      <c r="AA19" s="78"/>
    </row>
    <row r="20" spans="2:27" ht="20.100000000000001" customHeight="1" x14ac:dyDescent="0.25">
      <c r="B20" s="62">
        <v>46327</v>
      </c>
      <c r="C20" s="3">
        <f>COUNTIFS(TRATAMENTO!B:B,"Loja ADE",TRATAMENTO!A:A,"&gt;="&amp;B20,TRATAMENTO!A:A,"&lt;"&amp;EDATE(B20,1))</f>
        <v>0</v>
      </c>
      <c r="D20" s="3">
        <f>COUNTIFS(TRATAMENTO!B:B,"Loja ADE",TRATAMENTO!A:A,"&gt;="&amp;B20,TRATAMENTO!A:A,"&lt;"&amp;EDATE(B20,1),TRATAMENTO!K:K,"OK")</f>
        <v>0</v>
      </c>
      <c r="E20" s="3">
        <f>COUNTIFS(TRATAMENTO!B:B,"Loja ADE",TRATAMENTO!A:A,"&gt;="&amp;B20,TRATAMENTO!A:A,"&lt;"&amp;EDATE(B20,1),TRATAMENTO!K:K,"NOK")</f>
        <v>0</v>
      </c>
      <c r="F20" s="34">
        <f t="shared" si="0"/>
        <v>0</v>
      </c>
      <c r="G20" s="77"/>
      <c r="H20" s="33" t="s">
        <v>137</v>
      </c>
      <c r="I20" s="3">
        <f>COUNTIFS(TRATAMENTO!B:B,"Loja ADE",TRATAMENTO!R:R,H20)</f>
        <v>2</v>
      </c>
      <c r="J20" s="34">
        <f t="shared" si="1"/>
        <v>0.2</v>
      </c>
      <c r="K20" s="77"/>
      <c r="L20" s="85" t="str">
        <f>AUXILIAR!G4</f>
        <v>Entrega Parcial</v>
      </c>
      <c r="M20" s="29">
        <f>COUNTIFS(CONTROLE_DIARIO!B:B,"Loja ADE",CONTROLE_DIARIO!E:E,L20)</f>
        <v>0</v>
      </c>
      <c r="N20" s="77"/>
      <c r="O20" s="77"/>
      <c r="P20" s="78"/>
      <c r="Q20" s="76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2:27" ht="15.75" thickBot="1" x14ac:dyDescent="0.3">
      <c r="B21" s="63">
        <v>46357</v>
      </c>
      <c r="C21" s="36">
        <f>COUNTIFS(TRATAMENTO!B:B,"Loja ADE",TRATAMENTO!A:A,"&gt;="&amp;B21,TRATAMENTO!A:A,"&lt;"&amp;EDATE(B21,1))</f>
        <v>0</v>
      </c>
      <c r="D21" s="36">
        <f>COUNTIFS(TRATAMENTO!B:B,"Loja ADE",TRATAMENTO!A:A,"&gt;="&amp;B21,TRATAMENTO!A:A,"&lt;"&amp;EDATE(B21,1),TRATAMENTO!K:K,"OK")</f>
        <v>0</v>
      </c>
      <c r="E21" s="36">
        <f>COUNTIFS(TRATAMENTO!B:B,"Loja ADE",TRATAMENTO!A:A,"&gt;="&amp;B21,TRATAMENTO!A:A,"&lt;"&amp;EDATE(B21,1),TRATAMENTO!K:K,"NOK")</f>
        <v>0</v>
      </c>
      <c r="F21" s="37">
        <f t="shared" si="0"/>
        <v>0</v>
      </c>
      <c r="G21" s="77"/>
      <c r="H21" s="59" t="str">
        <f>AUXILIAR!I10</f>
        <v>Manifesto cancelado</v>
      </c>
      <c r="I21" s="60">
        <f>COUNTIFS(TRATAMENTO!B:B,"Loja ADE",TRATAMENTO!R:R,H21)</f>
        <v>1</v>
      </c>
      <c r="J21" s="34">
        <f t="shared" si="1"/>
        <v>0.1</v>
      </c>
      <c r="K21" s="77"/>
      <c r="L21" s="85" t="str">
        <f>AUXILIAR!G5</f>
        <v>Aberto</v>
      </c>
      <c r="M21" s="29">
        <f>COUNTIFS(CONTROLE_DIARIO!B:B,"Loja ADE",CONTROLE_DIARIO!E:E,L21)</f>
        <v>7</v>
      </c>
      <c r="N21" s="77"/>
      <c r="O21" s="77"/>
      <c r="P21" s="78"/>
      <c r="Q21" s="76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2:27" ht="19.5" customHeight="1" thickBot="1" x14ac:dyDescent="0.3">
      <c r="B22" s="76"/>
      <c r="C22" s="77"/>
      <c r="D22" s="77"/>
      <c r="E22" s="77"/>
      <c r="F22" s="77"/>
      <c r="G22" s="77"/>
      <c r="H22" s="35" t="str">
        <f>AUXILIAR!I11</f>
        <v>Outro</v>
      </c>
      <c r="I22" s="36">
        <f>COUNTIFS(TRATAMENTO!B:B,"Loja ADE",TRATAMENTO!R:R,H22)</f>
        <v>0</v>
      </c>
      <c r="J22" s="37">
        <f t="shared" si="1"/>
        <v>0</v>
      </c>
      <c r="K22" s="77"/>
      <c r="L22" s="86" t="str">
        <f>AUXILIAR!G6</f>
        <v>Devolução Avaria</v>
      </c>
      <c r="M22" s="29">
        <f>COUNTIFS(CONTROLE_DIARIO!B:B,"Loja ADE",CONTROLE_DIARIO!E:E,L22)</f>
        <v>0</v>
      </c>
      <c r="N22" s="77"/>
      <c r="O22" s="77"/>
      <c r="P22" s="78"/>
      <c r="Q22" s="76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2:27" ht="20.100000000000001" customHeight="1" thickBot="1" x14ac:dyDescent="0.3">
      <c r="B23" s="112" t="s">
        <v>40</v>
      </c>
      <c r="C23" s="124"/>
      <c r="D23" s="124"/>
      <c r="E23" s="124"/>
      <c r="F23" s="125"/>
      <c r="G23" s="77"/>
      <c r="H23" s="77"/>
      <c r="I23" s="77"/>
      <c r="J23" s="77"/>
      <c r="K23" s="77"/>
      <c r="L23" s="87" t="str">
        <f>AUXILIAR!G7</f>
        <v>Cancelado</v>
      </c>
      <c r="M23" s="40">
        <f>COUNTIFS(CONTROLE_DIARIO!B:B,"Loja ADE",CONTROLE_DIARIO!E:E,L23)</f>
        <v>1</v>
      </c>
      <c r="N23" s="77"/>
      <c r="O23" s="77"/>
      <c r="P23" s="78"/>
      <c r="Q23" s="76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2:27" ht="20.100000000000001" customHeight="1" x14ac:dyDescent="0.25">
      <c r="B24" s="26" t="s">
        <v>4</v>
      </c>
      <c r="C24" s="5" t="s">
        <v>41</v>
      </c>
      <c r="D24" s="5" t="s">
        <v>42</v>
      </c>
      <c r="E24" s="5" t="s">
        <v>43</v>
      </c>
      <c r="F24" s="27" t="s">
        <v>34</v>
      </c>
      <c r="G24" s="77"/>
      <c r="H24" s="77"/>
      <c r="I24" s="77"/>
      <c r="J24" s="77"/>
      <c r="K24" s="77"/>
      <c r="L24" s="77"/>
      <c r="M24" s="77"/>
      <c r="N24" s="77"/>
      <c r="O24" s="77"/>
      <c r="P24" s="78"/>
      <c r="Q24" s="76"/>
      <c r="R24" s="88" t="s">
        <v>130</v>
      </c>
      <c r="S24" s="77"/>
      <c r="T24" s="77"/>
      <c r="U24" s="77"/>
      <c r="V24" s="77"/>
      <c r="W24" s="77"/>
      <c r="X24" s="77"/>
      <c r="Y24" s="77"/>
      <c r="Z24" s="77"/>
      <c r="AA24" s="78"/>
    </row>
    <row r="25" spans="2:27" ht="20.100000000000001" customHeight="1" thickBot="1" x14ac:dyDescent="0.3">
      <c r="B25" s="41" t="str">
        <f>AUXILIAR!E2</f>
        <v>João Lucas</v>
      </c>
      <c r="C25" s="36">
        <f>COUNTIFS(TRATAMENTO!B:B,"Loja ADE",TRATAMENTO!D:D,B25)</f>
        <v>38</v>
      </c>
      <c r="D25" s="36">
        <f>COUNTIFS(TRATAMENTO!B:B,"Loja ADE",TRATAMENTO!D:D,B25,TRATAMENTO!K:K,"OK")</f>
        <v>25</v>
      </c>
      <c r="E25" s="36">
        <f>COUNTIFS(TRATAMENTO!B:B,"Loja ADE",TRATAMENTO!D:D,B25,TRATAMENTO!K:K,"NOK")</f>
        <v>13</v>
      </c>
      <c r="F25" s="37">
        <f t="shared" ref="F25" si="2">IFERROR(D25/C25,0)</f>
        <v>0.65789473684210531</v>
      </c>
      <c r="G25" s="77"/>
      <c r="H25" s="77"/>
      <c r="I25" s="77"/>
      <c r="J25" s="77"/>
      <c r="K25" s="77"/>
      <c r="L25" s="77"/>
      <c r="M25" s="77"/>
      <c r="N25" s="77"/>
      <c r="O25" s="77"/>
      <c r="P25" s="78"/>
      <c r="Q25" s="76"/>
      <c r="R25" s="88" t="s">
        <v>131</v>
      </c>
      <c r="S25" s="77"/>
      <c r="T25" s="77"/>
      <c r="U25" s="77"/>
      <c r="V25" s="77"/>
      <c r="W25" s="77"/>
      <c r="X25" s="77"/>
      <c r="Y25" s="77"/>
      <c r="Z25" s="77"/>
      <c r="AA25" s="78"/>
    </row>
    <row r="26" spans="2:27" ht="19.5" customHeight="1" thickBot="1" x14ac:dyDescent="0.3">
      <c r="B26" s="89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  <c r="Q26" s="89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2:27" ht="20.100000000000001" customHeight="1" x14ac:dyDescent="0.25"/>
    <row r="28" spans="2:27" ht="20.100000000000001" customHeight="1" x14ac:dyDescent="0.25"/>
    <row r="29" spans="2:27" ht="20.100000000000001" customHeight="1" x14ac:dyDescent="0.25"/>
    <row r="30" spans="2:27" ht="20.100000000000001" customHeight="1" x14ac:dyDescent="0.25"/>
    <row r="31" spans="2:27" ht="20.100000000000001" customHeight="1" x14ac:dyDescent="0.25"/>
    <row r="32" spans="2:27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</sheetData>
  <mergeCells count="23">
    <mergeCell ref="B2:P3"/>
    <mergeCell ref="Q2:AA3"/>
    <mergeCell ref="B4:O4"/>
    <mergeCell ref="B5:C5"/>
    <mergeCell ref="D5:E5"/>
    <mergeCell ref="F5:G5"/>
    <mergeCell ref="H5:I5"/>
    <mergeCell ref="J5:K5"/>
    <mergeCell ref="L5:M5"/>
    <mergeCell ref="N5:O5"/>
    <mergeCell ref="B23:F23"/>
    <mergeCell ref="N6:O7"/>
    <mergeCell ref="B9:O9"/>
    <mergeCell ref="B11:F11"/>
    <mergeCell ref="H11:J11"/>
    <mergeCell ref="L11:N11"/>
    <mergeCell ref="L16:M16"/>
    <mergeCell ref="B6:C7"/>
    <mergeCell ref="D6:E7"/>
    <mergeCell ref="F6:G7"/>
    <mergeCell ref="H6:I7"/>
    <mergeCell ref="J6:K7"/>
    <mergeCell ref="L6:M7"/>
  </mergeCells>
  <conditionalFormatting sqref="F25">
    <cfRule type="cellIs" dxfId="295" priority="1" operator="lessThan">
      <formula>0.85</formula>
    </cfRule>
    <cfRule type="cellIs" dxfId="294" priority="2" operator="between">
      <formula>0.85</formula>
      <formula>0.949</formula>
    </cfRule>
    <cfRule type="cellIs" dxfId="293" priority="3" operator="greaterThanOrEqual">
      <formula>0.95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DD88-8C48-45A5-AFFB-8163B0954D06}">
  <sheetPr>
    <tabColor theme="4" tint="0.59999389629810485"/>
  </sheetPr>
  <dimension ref="B1:AA104"/>
  <sheetViews>
    <sheetView workbookViewId="0">
      <selection activeCell="J13" sqref="J13"/>
    </sheetView>
  </sheetViews>
  <sheetFormatPr defaultRowHeight="15" x14ac:dyDescent="0.25"/>
  <cols>
    <col min="1" max="1" width="4.140625" style="74" customWidth="1"/>
    <col min="2" max="2" width="17.85546875" style="74" customWidth="1"/>
    <col min="3" max="3" width="10.140625" style="74" customWidth="1"/>
    <col min="4" max="6" width="14" style="74" customWidth="1"/>
    <col min="7" max="7" width="8.7109375" style="74" customWidth="1"/>
    <col min="8" max="8" width="21.140625" style="74" bestFit="1" customWidth="1"/>
    <col min="9" max="9" width="14" style="74" customWidth="1"/>
    <col min="10" max="10" width="11.42578125" style="74" customWidth="1"/>
    <col min="11" max="11" width="8.7109375" style="74" customWidth="1"/>
    <col min="12" max="12" width="16.42578125" style="74" bestFit="1" customWidth="1"/>
    <col min="13" max="13" width="14" style="74" customWidth="1"/>
    <col min="14" max="14" width="17.140625" style="74" customWidth="1"/>
    <col min="15" max="15" width="5.42578125" style="74" customWidth="1"/>
    <col min="16" max="16" width="4.5703125" style="74" customWidth="1"/>
    <col min="17" max="16384" width="9.140625" style="74"/>
  </cols>
  <sheetData>
    <row r="1" spans="2:27" ht="15.75" thickBot="1" x14ac:dyDescent="0.3"/>
    <row r="2" spans="2:27" ht="20.100000000000001" customHeight="1" x14ac:dyDescent="0.25">
      <c r="B2" s="92" t="s">
        <v>147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36" t="s">
        <v>129</v>
      </c>
      <c r="R2" s="131"/>
      <c r="S2" s="131"/>
      <c r="T2" s="131"/>
      <c r="U2" s="131"/>
      <c r="V2" s="131"/>
      <c r="W2" s="131"/>
      <c r="X2" s="131"/>
      <c r="Y2" s="131"/>
      <c r="Z2" s="131"/>
      <c r="AA2" s="132"/>
    </row>
    <row r="3" spans="2:27" ht="20.100000000000001" customHeight="1" x14ac:dyDescent="0.25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5"/>
    </row>
    <row r="4" spans="2:27" ht="20.100000000000001" customHeight="1" x14ac:dyDescent="0.25">
      <c r="B4" s="101" t="s">
        <v>33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75"/>
      <c r="Q4" s="76"/>
      <c r="R4" s="77"/>
      <c r="S4" s="77"/>
      <c r="T4" s="77"/>
      <c r="U4" s="77"/>
      <c r="V4" s="77"/>
      <c r="W4" s="77"/>
      <c r="X4" s="77"/>
      <c r="Y4" s="77"/>
      <c r="Z4" s="77"/>
      <c r="AA4" s="78"/>
    </row>
    <row r="5" spans="2:27" ht="33" customHeight="1" x14ac:dyDescent="0.25">
      <c r="B5" s="138" t="s">
        <v>143</v>
      </c>
      <c r="C5" s="139"/>
      <c r="D5" s="140" t="s">
        <v>128</v>
      </c>
      <c r="E5" s="139"/>
      <c r="F5" s="141" t="s">
        <v>72</v>
      </c>
      <c r="G5" s="142"/>
      <c r="H5" s="141" t="s">
        <v>36</v>
      </c>
      <c r="I5" s="142"/>
      <c r="J5" s="141" t="s">
        <v>37</v>
      </c>
      <c r="K5" s="142"/>
      <c r="L5" s="140" t="s">
        <v>144</v>
      </c>
      <c r="M5" s="139"/>
      <c r="N5" s="143" t="s">
        <v>125</v>
      </c>
      <c r="O5" s="144"/>
      <c r="P5" s="78"/>
      <c r="Q5" s="76"/>
      <c r="R5" s="77"/>
      <c r="S5" s="77"/>
      <c r="T5" s="77"/>
      <c r="U5" s="77"/>
      <c r="V5" s="77"/>
      <c r="W5" s="77"/>
      <c r="X5" s="77"/>
      <c r="Y5" s="77"/>
      <c r="Z5" s="77"/>
      <c r="AA5" s="78"/>
    </row>
    <row r="6" spans="2:27" ht="15" customHeight="1" x14ac:dyDescent="0.25">
      <c r="B6" s="115">
        <f>IFERROR(COUNTIFS(TRATAMENTO!B:B,"Loja Pistão",TRATAMENTO!K:K,"OK")/(COUNTIFS(TRATAMENTO!B:B,"Loja Pistão",TRATAMENTO!K:K,"OK")+COUNTIFS(TRATAMENTO!B:B,"Loja Pistão",TRATAMENTO!K:K,"NOK")),0)</f>
        <v>0.70454545454545459</v>
      </c>
      <c r="C6" s="129">
        <v>0</v>
      </c>
      <c r="D6" s="107">
        <f>IFERROR(SUMIFS(TRATAMENTO!V5:V500,TRATAMENTO!B5:B500,"Loja Pistão",TRATAMENTO!V5:V500,"&gt;0")/COUNTIFS(TRATAMENTO!B5:B500,"Loja Pistão",TRATAMENTO!V5:V500,"&gt;0"),0)</f>
        <v>0.9285714285714286</v>
      </c>
      <c r="E6" s="129">
        <v>0</v>
      </c>
      <c r="F6" s="107">
        <f>IFERROR(COUNTIFS(CONTROLE_DIARIO!B6:B500,"Loja Pistão",CONTROLE_DIARIO!F6:F500,"SIM")/(COUNTIFS(CONTROLE_DIARIO!B6:B500,"Loja Pistão",CONTROLE_DIARIO!F6:F500,"SIM")+COUNTIFS(CONTROLE_DIARIO!B6:B500,"Loja Pistão",CONTROLE_DIARIO!F6:F500,"NÃO")),0)</f>
        <v>0.91428571428571426</v>
      </c>
      <c r="G6" s="129">
        <v>0</v>
      </c>
      <c r="H6" s="107">
        <f>IFERROR(COUNTIFS(CONTROLE_DIARIO!B6:B500,"Loja Pistão",CONTROLE_DIARIO!J6:J500,"SIM")/(COUNTIFS(CONTROLE_DIARIO!B6:B500,"Loja Pistão",CONTROLE_DIARIO!J6:J500,"SIM")+COUNTIFS(CONTROLE_DIARIO!B6:B500,"Loja Pistão",CONTROLE_DIARIO!J6:J500,"NÃO")),0)</f>
        <v>0.72093023255813948</v>
      </c>
      <c r="I6" s="129">
        <v>0</v>
      </c>
      <c r="J6" s="107">
        <f>IFERROR(COUNTIFS(CONTROLE_DIARIO!B6:B500,"Loja Pistão",CONTROLE_DIARIO!I6:I500,"SIM")/(COUNTIFS(CONTROLE_DIARIO!B6:B500,"Loja Pistão",CONTROLE_DIARIO!I6:I500,"SIM")+COUNTIFS(CONTROLE_DIARIO!B6:B500,"Loja Pistão",CONTROLE_DIARIO!I6:I500,"NÃO")),0)</f>
        <v>1</v>
      </c>
      <c r="K6" s="129">
        <v>0</v>
      </c>
      <c r="L6" s="120">
        <v>0.11764705882352941</v>
      </c>
      <c r="M6" s="129">
        <v>0</v>
      </c>
      <c r="N6" s="126">
        <f>COUNTIF(CONTROLE_DIARIO!B:B,"Loja Pistão")</f>
        <v>44</v>
      </c>
      <c r="O6" s="126">
        <v>0</v>
      </c>
      <c r="P6" s="78"/>
      <c r="Q6" s="76"/>
      <c r="R6" s="77"/>
      <c r="S6" s="77"/>
      <c r="T6" s="77"/>
      <c r="U6" s="77"/>
      <c r="V6" s="77"/>
      <c r="W6" s="77"/>
      <c r="X6" s="77"/>
      <c r="Y6" s="77"/>
      <c r="Z6" s="77"/>
      <c r="AA6" s="78"/>
    </row>
    <row r="7" spans="2:27" ht="42" customHeight="1" x14ac:dyDescent="0.25">
      <c r="B7" s="130">
        <v>0.88235294117647056</v>
      </c>
      <c r="C7" s="129">
        <v>0</v>
      </c>
      <c r="D7" s="129">
        <v>0.94545454545454544</v>
      </c>
      <c r="E7" s="129">
        <v>0</v>
      </c>
      <c r="F7" s="129">
        <v>0.93939393939393945</v>
      </c>
      <c r="G7" s="129">
        <v>0</v>
      </c>
      <c r="H7" s="129">
        <v>0.90909090909090906</v>
      </c>
      <c r="I7" s="129">
        <v>0</v>
      </c>
      <c r="J7" s="129">
        <v>1</v>
      </c>
      <c r="K7" s="129">
        <v>0</v>
      </c>
      <c r="L7" s="129">
        <v>0.20689655172413793</v>
      </c>
      <c r="M7" s="129">
        <v>0</v>
      </c>
      <c r="N7" s="126">
        <v>34</v>
      </c>
      <c r="O7" s="126">
        <v>0</v>
      </c>
      <c r="P7" s="78"/>
      <c r="Q7" s="76"/>
      <c r="R7" s="77"/>
      <c r="S7" s="77"/>
      <c r="T7" s="77"/>
      <c r="U7" s="77"/>
      <c r="V7" s="77"/>
      <c r="W7" s="77"/>
      <c r="X7" s="77"/>
      <c r="Y7" s="77"/>
      <c r="Z7" s="77"/>
      <c r="AA7" s="78"/>
    </row>
    <row r="8" spans="2:27" x14ac:dyDescent="0.25"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8"/>
      <c r="Q8" s="76"/>
      <c r="R8" s="77"/>
      <c r="S8" s="77"/>
      <c r="T8" s="77"/>
      <c r="U8" s="77"/>
      <c r="V8" s="77"/>
      <c r="W8" s="77"/>
      <c r="X8" s="77"/>
      <c r="Y8" s="77"/>
      <c r="Z8" s="77"/>
      <c r="AA8" s="78"/>
    </row>
    <row r="9" spans="2:27" ht="20.100000000000001" customHeight="1" x14ac:dyDescent="0.25">
      <c r="B9" s="127" t="s">
        <v>38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78"/>
      <c r="Q9" s="76"/>
      <c r="R9" s="77"/>
      <c r="S9" s="77"/>
      <c r="T9" s="77"/>
      <c r="U9" s="77"/>
      <c r="V9" s="77"/>
      <c r="W9" s="77"/>
      <c r="X9" s="77"/>
      <c r="Y9" s="77"/>
      <c r="Z9" s="77"/>
      <c r="AA9" s="78"/>
    </row>
    <row r="10" spans="2:27" ht="15.75" thickBot="1" x14ac:dyDescent="0.3"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8"/>
      <c r="Q10" s="76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2:27" ht="20.100000000000001" customHeight="1" x14ac:dyDescent="0.25">
      <c r="B11" s="98" t="s">
        <v>58</v>
      </c>
      <c r="C11" s="99"/>
      <c r="D11" s="99"/>
      <c r="E11" s="99"/>
      <c r="F11" s="100"/>
      <c r="G11" s="77"/>
      <c r="H11" s="98" t="s">
        <v>44</v>
      </c>
      <c r="I11" s="99"/>
      <c r="J11" s="100"/>
      <c r="K11" s="77"/>
      <c r="L11" s="117" t="s">
        <v>145</v>
      </c>
      <c r="M11" s="118"/>
      <c r="N11" s="119"/>
      <c r="O11" s="77"/>
      <c r="P11" s="78"/>
      <c r="Q11" s="76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2:27" ht="20.100000000000001" customHeight="1" x14ac:dyDescent="0.25">
      <c r="B12" s="26" t="s">
        <v>28</v>
      </c>
      <c r="C12" s="5" t="s">
        <v>59</v>
      </c>
      <c r="D12" s="5" t="s">
        <v>42</v>
      </c>
      <c r="E12" s="5" t="s">
        <v>43</v>
      </c>
      <c r="F12" s="27" t="s">
        <v>34</v>
      </c>
      <c r="G12" s="77"/>
      <c r="H12" s="26" t="s">
        <v>46</v>
      </c>
      <c r="I12" s="5" t="s">
        <v>47</v>
      </c>
      <c r="J12" s="27" t="s">
        <v>48</v>
      </c>
      <c r="K12" s="77"/>
      <c r="L12" s="66" t="s">
        <v>49</v>
      </c>
      <c r="M12" s="65" t="s">
        <v>47</v>
      </c>
      <c r="N12" s="67" t="s">
        <v>48</v>
      </c>
      <c r="O12" s="77"/>
      <c r="P12" s="78"/>
      <c r="Q12" s="76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2:27" ht="20.100000000000001" customHeight="1" x14ac:dyDescent="0.25">
      <c r="B13" s="62">
        <v>46113</v>
      </c>
      <c r="C13" s="3">
        <f>COUNTIFS(TRATAMENTO!B:B,"Loja Pistão",TRATAMENTO!A:A,"&gt;="&amp;B13,TRATAMENTO!A:A,"&lt;"&amp;EDATE(B13,1))</f>
        <v>0</v>
      </c>
      <c r="D13" s="3">
        <f>COUNTIFS(TRATAMENTO!B:B,"Loja Pistão",TRATAMENTO!A:A,"&gt;="&amp;B13,TRATAMENTO!A:A,"&lt;"&amp;EDATE(B13,1),TRATAMENTO!K:K,"OK")</f>
        <v>0</v>
      </c>
      <c r="E13" s="3">
        <f>COUNTIFS(TRATAMENTO!B:B,"Loja Pistão",TRATAMENTO!A:A,"&gt;="&amp;B13,TRATAMENTO!A:A,"&lt;"&amp;EDATE(B13,1),TRATAMENTO!K:K,"NOK")</f>
        <v>0</v>
      </c>
      <c r="F13" s="34">
        <f t="shared" ref="F13:F21" si="0">IFERROR(D13/C13,0)</f>
        <v>0</v>
      </c>
      <c r="G13" s="77"/>
      <c r="H13" s="33" t="str">
        <f>AUXILIAR!I3</f>
        <v>Sem assinatura</v>
      </c>
      <c r="I13" s="3">
        <f>COUNTIFS(TRATAMENTO!B:B,"Loja Pistão",TRATAMENTO!R:R,H13)</f>
        <v>0</v>
      </c>
      <c r="J13" s="34">
        <f>IFERROR(I13/SUM($I$13:$I$22),0)</f>
        <v>0</v>
      </c>
      <c r="K13" s="77"/>
      <c r="L13" s="79" t="s">
        <v>42</v>
      </c>
      <c r="M13" s="80">
        <f>COUNTIFS(TRATAMENTO!B:B,"Loja Pistão",TRATAMENTO!K:K,"OK")</f>
        <v>31</v>
      </c>
      <c r="N13" s="81">
        <f>IFERROR(M13/(M13+M14),0)</f>
        <v>0.70454545454545459</v>
      </c>
      <c r="O13" s="77"/>
      <c r="P13" s="78"/>
      <c r="Q13" s="76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2:27" ht="20.100000000000001" customHeight="1" thickBot="1" x14ac:dyDescent="0.3">
      <c r="B14" s="62">
        <v>46143</v>
      </c>
      <c r="C14" s="3">
        <f>COUNTIFS(TRATAMENTO!B:B,"Loja Pistão",TRATAMENTO!A:A,"&gt;="&amp;B14,TRATAMENTO!A:A,"&lt;"&amp;EDATE(B14,1))</f>
        <v>44</v>
      </c>
      <c r="D14" s="3">
        <f>COUNTIFS(TRATAMENTO!B:B,"Loja Pistão",TRATAMENTO!A:A,"&gt;="&amp;B14,TRATAMENTO!A:A,"&lt;"&amp;EDATE(B14,1),TRATAMENTO!K:K,"OK")</f>
        <v>31</v>
      </c>
      <c r="E14" s="3">
        <f>COUNTIFS(TRATAMENTO!B:B,"Loja Pistão",TRATAMENTO!A:A,"&gt;="&amp;B14,TRATAMENTO!A:A,"&lt;"&amp;EDATE(B14,1),TRATAMENTO!K:K,"NOK")</f>
        <v>13</v>
      </c>
      <c r="F14" s="34">
        <f t="shared" si="0"/>
        <v>0.70454545454545459</v>
      </c>
      <c r="G14" s="77"/>
      <c r="H14" s="33" t="str">
        <f>AUXILIAR!I4</f>
        <v>Sem nenhuma foto</v>
      </c>
      <c r="I14" s="3">
        <f>COUNTIFS(TRATAMENTO!B:B,"Loja Pistão",TRATAMENTO!L:L,H14)</f>
        <v>1</v>
      </c>
      <c r="J14" s="34">
        <f t="shared" ref="J14:J22" si="1">IFERROR(I14/SUM($I$13:$I$22),0)</f>
        <v>6.25E-2</v>
      </c>
      <c r="K14" s="77"/>
      <c r="L14" s="82" t="s">
        <v>43</v>
      </c>
      <c r="M14" s="83">
        <f>COUNTIFS(TRATAMENTO!B:B,"Loja Pistão",TRATAMENTO!K:K,"NOK")</f>
        <v>13</v>
      </c>
      <c r="N14" s="84">
        <f>IFERROR(M14/(M13+M14),0)</f>
        <v>0.29545454545454547</v>
      </c>
      <c r="O14" s="77"/>
      <c r="P14" s="78"/>
      <c r="Q14" s="76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2:27" ht="20.100000000000001" customHeight="1" thickBot="1" x14ac:dyDescent="0.3">
      <c r="B15" s="62">
        <v>46174</v>
      </c>
      <c r="C15" s="3">
        <f>COUNTIFS(TRATAMENTO!B:B,"Loja Pistão",TRATAMENTO!A:A,"&gt;="&amp;B15,TRATAMENTO!A:A,"&lt;"&amp;EDATE(B15,1))</f>
        <v>0</v>
      </c>
      <c r="D15" s="3">
        <f>COUNTIFS(TRATAMENTO!B:B,"Loja Pistão",TRATAMENTO!A:A,"&gt;="&amp;B15,TRATAMENTO!A:A,"&lt;"&amp;EDATE(B15,1),TRATAMENTO!K:K,"OK")</f>
        <v>0</v>
      </c>
      <c r="E15" s="3">
        <f>COUNTIFS(TRATAMENTO!B:B,"Loja Pistão",TRATAMENTO!A:A,"&gt;="&amp;B15,TRATAMENTO!A:A,"&lt;"&amp;EDATE(B15,1),TRATAMENTO!K:K,"NOK")</f>
        <v>0</v>
      </c>
      <c r="F15" s="34">
        <f t="shared" si="0"/>
        <v>0</v>
      </c>
      <c r="G15" s="77"/>
      <c r="H15" s="33" t="str">
        <f>AUXILIAR!I5</f>
        <v>Sem foto fachada</v>
      </c>
      <c r="I15" s="3">
        <f>COUNTIFS(TRATAMENTO!B:B,"Loja Pistão",TRATAMENTO!L:L,H15)</f>
        <v>11</v>
      </c>
      <c r="J15" s="34">
        <f t="shared" si="1"/>
        <v>0.6875</v>
      </c>
      <c r="K15" s="77"/>
      <c r="L15" s="77"/>
      <c r="M15" s="77"/>
      <c r="N15" s="77"/>
      <c r="O15" s="77"/>
      <c r="P15" s="78"/>
      <c r="Q15" s="76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2:27" ht="20.100000000000001" customHeight="1" x14ac:dyDescent="0.25">
      <c r="B16" s="62">
        <v>46204</v>
      </c>
      <c r="C16" s="3">
        <f>COUNTIFS(TRATAMENTO!B:B,"Loja Pistão",TRATAMENTO!A:A,"&gt;="&amp;B16,TRATAMENTO!A:A,"&lt;"&amp;EDATE(B16,1))</f>
        <v>0</v>
      </c>
      <c r="D16" s="3">
        <f>COUNTIFS(TRATAMENTO!B:B,"Loja Pistão",TRATAMENTO!A:A,"&gt;="&amp;B16,TRATAMENTO!A:A,"&lt;"&amp;EDATE(B16,1),TRATAMENTO!K:K,"OK")</f>
        <v>0</v>
      </c>
      <c r="E16" s="3">
        <f>COUNTIFS(TRATAMENTO!B:B,"Loja Pistão",TRATAMENTO!A:A,"&gt;="&amp;B16,TRATAMENTO!A:A,"&lt;"&amp;EDATE(B16,1),TRATAMENTO!K:K,"NOK")</f>
        <v>0</v>
      </c>
      <c r="F16" s="34">
        <f t="shared" si="0"/>
        <v>0</v>
      </c>
      <c r="G16" s="77"/>
      <c r="H16" s="33" t="str">
        <f>AUXILIAR!I6</f>
        <v>Sem foto produtos</v>
      </c>
      <c r="I16" s="3">
        <f>COUNTIFS(TRATAMENTO!B:B,"Loja Pistão",TRATAMENTO!L:L,H16)</f>
        <v>0</v>
      </c>
      <c r="J16" s="34">
        <f t="shared" si="1"/>
        <v>0</v>
      </c>
      <c r="K16" s="77"/>
      <c r="L16" s="98" t="s">
        <v>45</v>
      </c>
      <c r="M16" s="100"/>
      <c r="N16" s="77"/>
      <c r="O16" s="77"/>
      <c r="P16" s="78"/>
      <c r="Q16" s="76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2:27" ht="20.100000000000001" customHeight="1" x14ac:dyDescent="0.25">
      <c r="B17" s="62">
        <v>46235</v>
      </c>
      <c r="C17" s="3">
        <f>COUNTIFS(TRATAMENTO!B:B,"Loja Pistão",TRATAMENTO!A:A,"&gt;="&amp;B17,TRATAMENTO!A:A,"&lt;"&amp;EDATE(B17,1))</f>
        <v>0</v>
      </c>
      <c r="D17" s="3">
        <f>COUNTIFS(TRATAMENTO!B:B,"Loja Pistão",TRATAMENTO!A:A,"&gt;="&amp;B17,TRATAMENTO!A:A,"&lt;"&amp;EDATE(B17,1),TRATAMENTO!K:K,"OK")</f>
        <v>0</v>
      </c>
      <c r="E17" s="3">
        <f>COUNTIFS(TRATAMENTO!B:B,"Loja Pistão",TRATAMENTO!A:A,"&gt;="&amp;B17,TRATAMENTO!A:A,"&lt;"&amp;EDATE(B17,1),TRATAMENTO!K:K,"NOK")</f>
        <v>0</v>
      </c>
      <c r="F17" s="34">
        <f t="shared" si="0"/>
        <v>0</v>
      </c>
      <c r="G17" s="77"/>
      <c r="H17" s="33" t="str">
        <f>AUXILIAR!I7</f>
        <v>Sem fotos e assinatura</v>
      </c>
      <c r="I17" s="3">
        <f>COUNTIFS(TRATAMENTO!B:B,"Loja Pistão",TRATAMENTO!R:R,H17)</f>
        <v>0</v>
      </c>
      <c r="J17" s="34">
        <f t="shared" si="1"/>
        <v>0</v>
      </c>
      <c r="K17" s="77"/>
      <c r="L17" s="26" t="s">
        <v>49</v>
      </c>
      <c r="M17" s="27" t="s">
        <v>47</v>
      </c>
      <c r="N17" s="77"/>
      <c r="O17" s="77"/>
      <c r="P17" s="78"/>
      <c r="Q17" s="76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2:27" ht="20.100000000000001" customHeight="1" x14ac:dyDescent="0.25">
      <c r="B18" s="62">
        <v>46266</v>
      </c>
      <c r="C18" s="3">
        <f>COUNTIFS(TRATAMENTO!B:B,"Loja Pistão",TRATAMENTO!A:A,"&gt;="&amp;B18,TRATAMENTO!A:A,"&lt;"&amp;EDATE(B18,1))</f>
        <v>0</v>
      </c>
      <c r="D18" s="3">
        <f>COUNTIFS(TRATAMENTO!B:B,"Loja Pistão",TRATAMENTO!A:A,"&gt;="&amp;B18,TRATAMENTO!A:A,"&lt;"&amp;EDATE(B18,1),TRATAMENTO!K:K,"OK")</f>
        <v>0</v>
      </c>
      <c r="E18" s="3">
        <f>COUNTIFS(TRATAMENTO!B:B,"Loja Pistão",TRATAMENTO!A:A,"&gt;="&amp;B18,TRATAMENTO!A:A,"&lt;"&amp;EDATE(B18,1),TRATAMENTO!K:K,"NOK")</f>
        <v>0</v>
      </c>
      <c r="F18" s="34">
        <f t="shared" si="0"/>
        <v>0</v>
      </c>
      <c r="G18" s="77"/>
      <c r="H18" s="33" t="str">
        <f>AUXILIAR!I8</f>
        <v>Não conferido</v>
      </c>
      <c r="I18" s="3">
        <f>COUNTIFS(TRATAMENTO!B:B,"Loja Pistão",TRATAMENTO!R:R,H18)</f>
        <v>0</v>
      </c>
      <c r="J18" s="34">
        <f t="shared" si="1"/>
        <v>0</v>
      </c>
      <c r="K18" s="77"/>
      <c r="L18" s="85" t="str">
        <f>AUXILIAR!G2</f>
        <v>Entrega Total</v>
      </c>
      <c r="M18" s="29">
        <f>COUNTIFS(CONTROLE_DIARIO!B:B,"Loja Pistão",CONTROLE_DIARIO!E:E,L18)</f>
        <v>35</v>
      </c>
      <c r="N18" s="77"/>
      <c r="O18" s="77"/>
      <c r="P18" s="78"/>
      <c r="Q18" s="76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2:27" ht="20.100000000000001" customHeight="1" x14ac:dyDescent="0.25">
      <c r="B19" s="62">
        <v>46296</v>
      </c>
      <c r="C19" s="3">
        <f>COUNTIFS(TRATAMENTO!B:B,"Loja Pistão",TRATAMENTO!A:A,"&gt;="&amp;B19,TRATAMENTO!A:A,"&lt;"&amp;EDATE(B19,1))</f>
        <v>0</v>
      </c>
      <c r="D19" s="3">
        <f>COUNTIFS(TRATAMENTO!B:B,"Loja Pistão",TRATAMENTO!A:A,"&gt;="&amp;B19,TRATAMENTO!A:A,"&lt;"&amp;EDATE(B19,1),TRATAMENTO!K:K,"OK")</f>
        <v>0</v>
      </c>
      <c r="E19" s="3">
        <f>COUNTIFS(TRATAMENTO!B:B,"Loja Pistão",TRATAMENTO!A:A,"&gt;="&amp;B19,TRATAMENTO!A:A,"&lt;"&amp;EDATE(B19,1),TRATAMENTO!K:K,"NOK")</f>
        <v>0</v>
      </c>
      <c r="F19" s="34">
        <f t="shared" si="0"/>
        <v>0</v>
      </c>
      <c r="G19" s="77"/>
      <c r="H19" s="33" t="str">
        <f>AUXILIAR!I9</f>
        <v>Não baixado</v>
      </c>
      <c r="I19" s="3">
        <f>COUNTIFS(TRATAMENTO!B:B,"Loja Pistão",TRATAMENTO!R:R,H19)</f>
        <v>0</v>
      </c>
      <c r="J19" s="34">
        <f t="shared" si="1"/>
        <v>0</v>
      </c>
      <c r="K19" s="77"/>
      <c r="L19" s="85" t="str">
        <f>AUXILIAR!G3</f>
        <v>Retorno Total</v>
      </c>
      <c r="M19" s="29">
        <f>COUNTIFS(CONTROLE_DIARIO!B:B,"Loja Pistão",CONTROLE_DIARIO!E:E,L19)</f>
        <v>0</v>
      </c>
      <c r="N19" s="77"/>
      <c r="O19" s="77"/>
      <c r="P19" s="78"/>
      <c r="Q19" s="76"/>
      <c r="R19" s="77"/>
      <c r="S19" s="77"/>
      <c r="T19" s="77"/>
      <c r="U19" s="77"/>
      <c r="V19" s="77"/>
      <c r="W19" s="77"/>
      <c r="X19" s="77"/>
      <c r="Y19" s="77"/>
      <c r="Z19" s="77"/>
      <c r="AA19" s="78"/>
    </row>
    <row r="20" spans="2:27" ht="20.100000000000001" customHeight="1" x14ac:dyDescent="0.25">
      <c r="B20" s="62">
        <v>46327</v>
      </c>
      <c r="C20" s="3">
        <f>COUNTIFS(TRATAMENTO!B:B,"Loja Pistão",TRATAMENTO!A:A,"&gt;="&amp;B20,TRATAMENTO!A:A,"&lt;"&amp;EDATE(B20,1))</f>
        <v>0</v>
      </c>
      <c r="D20" s="3">
        <f>COUNTIFS(TRATAMENTO!B:B,"Loja Pistão",TRATAMENTO!A:A,"&gt;="&amp;B20,TRATAMENTO!A:A,"&lt;"&amp;EDATE(B20,1),TRATAMENTO!K:K,"OK")</f>
        <v>0</v>
      </c>
      <c r="E20" s="3">
        <f>COUNTIFS(TRATAMENTO!B:B,"Loja Pistão",TRATAMENTO!A:A,"&gt;="&amp;B20,TRATAMENTO!A:A,"&lt;"&amp;EDATE(B20,1),TRATAMENTO!K:K,"NOK")</f>
        <v>0</v>
      </c>
      <c r="F20" s="34">
        <f t="shared" si="0"/>
        <v>0</v>
      </c>
      <c r="G20" s="77"/>
      <c r="H20" s="33" t="s">
        <v>137</v>
      </c>
      <c r="I20" s="3">
        <f>COUNTIFS(TRATAMENTO!B:B,"Loja Pistão",TRATAMENTO!R:R,H20)</f>
        <v>3</v>
      </c>
      <c r="J20" s="34">
        <f t="shared" si="1"/>
        <v>0.1875</v>
      </c>
      <c r="K20" s="77"/>
      <c r="L20" s="85" t="str">
        <f>AUXILIAR!G4</f>
        <v>Entrega Parcial</v>
      </c>
      <c r="M20" s="29">
        <f>COUNTIFS(CONTROLE_DIARIO!B:B,"Loja Pistão",CONTROLE_DIARIO!E:E,L20)</f>
        <v>0</v>
      </c>
      <c r="N20" s="77"/>
      <c r="O20" s="77"/>
      <c r="P20" s="78"/>
      <c r="Q20" s="76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2:27" ht="15.75" thickBot="1" x14ac:dyDescent="0.3">
      <c r="B21" s="63">
        <v>46357</v>
      </c>
      <c r="C21" s="36">
        <f>COUNTIFS(TRATAMENTO!B:B,"Loja Pistão",TRATAMENTO!A:A,"&gt;="&amp;B21,TRATAMENTO!A:A,"&lt;"&amp;EDATE(B21,1))</f>
        <v>0</v>
      </c>
      <c r="D21" s="36">
        <f>COUNTIFS(TRATAMENTO!B:B,"Loja Pistão",TRATAMENTO!A:A,"&gt;="&amp;B21,TRATAMENTO!A:A,"&lt;"&amp;EDATE(B21,1),TRATAMENTO!K:K,"OK")</f>
        <v>0</v>
      </c>
      <c r="E21" s="36">
        <f>COUNTIFS(TRATAMENTO!B:B,"Loja Pistão",TRATAMENTO!A:A,"&gt;="&amp;B21,TRATAMENTO!A:A,"&lt;"&amp;EDATE(B21,1),TRATAMENTO!K:K,"NOK")</f>
        <v>0</v>
      </c>
      <c r="F21" s="37">
        <f t="shared" si="0"/>
        <v>0</v>
      </c>
      <c r="G21" s="77"/>
      <c r="H21" s="59" t="str">
        <f>AUXILIAR!I10</f>
        <v>Manifesto cancelado</v>
      </c>
      <c r="I21" s="60">
        <f>COUNTIFS(TRATAMENTO!B:B,"Loja Pistão",TRATAMENTO!R:R,H21)</f>
        <v>1</v>
      </c>
      <c r="J21" s="34">
        <f t="shared" si="1"/>
        <v>6.25E-2</v>
      </c>
      <c r="K21" s="77"/>
      <c r="L21" s="85" t="str">
        <f>AUXILIAR!G5</f>
        <v>Aberto</v>
      </c>
      <c r="M21" s="29">
        <f>COUNTIFS(CONTROLE_DIARIO!B:B,"Loja Pistão",CONTROLE_DIARIO!E:E,L21)</f>
        <v>8</v>
      </c>
      <c r="N21" s="77"/>
      <c r="O21" s="77"/>
      <c r="P21" s="78"/>
      <c r="Q21" s="76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2:27" ht="19.5" customHeight="1" thickBot="1" x14ac:dyDescent="0.3">
      <c r="B22" s="76"/>
      <c r="C22" s="77"/>
      <c r="D22" s="77"/>
      <c r="E22" s="77"/>
      <c r="F22" s="77"/>
      <c r="G22" s="77"/>
      <c r="H22" s="35" t="str">
        <f>AUXILIAR!I11</f>
        <v>Outro</v>
      </c>
      <c r="I22" s="36">
        <f>COUNTIFS(TRATAMENTO!B:B,"Loja Pistão",TRATAMENTO!R:R,H22)</f>
        <v>0</v>
      </c>
      <c r="J22" s="37">
        <f t="shared" si="1"/>
        <v>0</v>
      </c>
      <c r="K22" s="77"/>
      <c r="L22" s="86" t="str">
        <f>AUXILIAR!G6</f>
        <v>Devolução Avaria</v>
      </c>
      <c r="M22" s="29">
        <f>COUNTIFS(CONTROLE_DIARIO!B:B,"Loja Pistão",CONTROLE_DIARIO!E:E,L22)</f>
        <v>0</v>
      </c>
      <c r="N22" s="77"/>
      <c r="O22" s="77"/>
      <c r="P22" s="78"/>
      <c r="Q22" s="76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2:27" ht="20.100000000000001" customHeight="1" thickBot="1" x14ac:dyDescent="0.3">
      <c r="B23" s="112" t="s">
        <v>40</v>
      </c>
      <c r="C23" s="124"/>
      <c r="D23" s="124"/>
      <c r="E23" s="124"/>
      <c r="F23" s="125"/>
      <c r="G23" s="77"/>
      <c r="H23" s="77"/>
      <c r="I23" s="77"/>
      <c r="J23" s="77"/>
      <c r="K23" s="77"/>
      <c r="L23" s="87" t="str">
        <f>AUXILIAR!G7</f>
        <v>Cancelado</v>
      </c>
      <c r="M23" s="40">
        <f>COUNTIFS(CONTROLE_DIARIO!B:B,"Loja Pistão",CONTROLE_DIARIO!E:E,L23)</f>
        <v>1</v>
      </c>
      <c r="N23" s="77"/>
      <c r="O23" s="77"/>
      <c r="P23" s="78"/>
      <c r="Q23" s="76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2:27" ht="20.100000000000001" customHeight="1" x14ac:dyDescent="0.25">
      <c r="B24" s="26" t="s">
        <v>4</v>
      </c>
      <c r="C24" s="5" t="s">
        <v>41</v>
      </c>
      <c r="D24" s="5" t="s">
        <v>42</v>
      </c>
      <c r="E24" s="5" t="s">
        <v>43</v>
      </c>
      <c r="F24" s="27" t="s">
        <v>34</v>
      </c>
      <c r="G24" s="77"/>
      <c r="H24" s="77"/>
      <c r="I24" s="77"/>
      <c r="J24" s="77"/>
      <c r="K24" s="77"/>
      <c r="L24" s="77"/>
      <c r="M24" s="77"/>
      <c r="N24" s="77"/>
      <c r="O24" s="77"/>
      <c r="P24" s="78"/>
      <c r="Q24" s="76"/>
      <c r="R24" s="88" t="s">
        <v>130</v>
      </c>
      <c r="S24" s="77"/>
      <c r="T24" s="77"/>
      <c r="U24" s="77"/>
      <c r="V24" s="77"/>
      <c r="W24" s="77"/>
      <c r="X24" s="77"/>
      <c r="Y24" s="77"/>
      <c r="Z24" s="77"/>
      <c r="AA24" s="78"/>
    </row>
    <row r="25" spans="2:27" ht="20.100000000000001" customHeight="1" thickBot="1" x14ac:dyDescent="0.3">
      <c r="B25" s="41" t="str">
        <f>AUXILIAR!E2</f>
        <v>João Lucas</v>
      </c>
      <c r="C25" s="36">
        <f>COUNTIFS(TRATAMENTO!B:B,"Loja Pistão",TRATAMENTO!D:D,B25)</f>
        <v>44</v>
      </c>
      <c r="D25" s="36">
        <f>COUNTIFS(TRATAMENTO!B:B,"Loja Pistão",TRATAMENTO!D:D,B25,TRATAMENTO!K:K,"OK")</f>
        <v>31</v>
      </c>
      <c r="E25" s="36">
        <f>COUNTIFS(TRATAMENTO!B:B,"Loja Pistão",TRATAMENTO!D:D,B25,TRATAMENTO!K:K,"NOK")</f>
        <v>13</v>
      </c>
      <c r="F25" s="37">
        <f t="shared" ref="F25" si="2">IFERROR(D25/C25,0)</f>
        <v>0.70454545454545459</v>
      </c>
      <c r="G25" s="77"/>
      <c r="H25" s="77"/>
      <c r="I25" s="77"/>
      <c r="J25" s="77"/>
      <c r="K25" s="77"/>
      <c r="L25" s="77"/>
      <c r="M25" s="77"/>
      <c r="N25" s="77"/>
      <c r="O25" s="77"/>
      <c r="P25" s="78"/>
      <c r="Q25" s="76"/>
      <c r="R25" s="88" t="s">
        <v>131</v>
      </c>
      <c r="S25" s="77"/>
      <c r="T25" s="77"/>
      <c r="U25" s="77"/>
      <c r="V25" s="77"/>
      <c r="W25" s="77"/>
      <c r="X25" s="77"/>
      <c r="Y25" s="77"/>
      <c r="Z25" s="77"/>
      <c r="AA25" s="78"/>
    </row>
    <row r="26" spans="2:27" ht="19.5" customHeight="1" thickBot="1" x14ac:dyDescent="0.3">
      <c r="B26" s="89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  <c r="Q26" s="89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2:27" ht="20.100000000000001" customHeight="1" x14ac:dyDescent="0.25"/>
    <row r="28" spans="2:27" ht="20.100000000000001" customHeight="1" x14ac:dyDescent="0.25"/>
    <row r="29" spans="2:27" ht="20.100000000000001" customHeight="1" x14ac:dyDescent="0.25"/>
    <row r="30" spans="2:27" ht="20.100000000000001" customHeight="1" x14ac:dyDescent="0.25"/>
    <row r="31" spans="2:27" ht="20.100000000000001" customHeight="1" x14ac:dyDescent="0.25"/>
    <row r="32" spans="2:27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</sheetData>
  <mergeCells count="23">
    <mergeCell ref="B2:P3"/>
    <mergeCell ref="Q2:AA3"/>
    <mergeCell ref="B4:O4"/>
    <mergeCell ref="B5:C5"/>
    <mergeCell ref="D5:E5"/>
    <mergeCell ref="F5:G5"/>
    <mergeCell ref="H5:I5"/>
    <mergeCell ref="J5:K5"/>
    <mergeCell ref="L5:M5"/>
    <mergeCell ref="N5:O5"/>
    <mergeCell ref="B23:F23"/>
    <mergeCell ref="N6:O7"/>
    <mergeCell ref="B9:O9"/>
    <mergeCell ref="B11:F11"/>
    <mergeCell ref="H11:J11"/>
    <mergeCell ref="L11:N11"/>
    <mergeCell ref="L16:M16"/>
    <mergeCell ref="B6:C7"/>
    <mergeCell ref="D6:E7"/>
    <mergeCell ref="F6:G7"/>
    <mergeCell ref="H6:I7"/>
    <mergeCell ref="J6:K7"/>
    <mergeCell ref="L6:M7"/>
  </mergeCells>
  <conditionalFormatting sqref="F25">
    <cfRule type="cellIs" dxfId="292" priority="1" operator="lessThan">
      <formula>0.85</formula>
    </cfRule>
    <cfRule type="cellIs" dxfId="291" priority="2" operator="between">
      <formula>0.85</formula>
      <formula>0.949</formula>
    </cfRule>
    <cfRule type="cellIs" dxfId="290" priority="3" operator="greaterThanOrEqual">
      <formula>0.95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7A05-AA26-4CDE-818F-DAE09B4FBCAD}">
  <sheetPr>
    <tabColor theme="4" tint="0.59999389629810485"/>
  </sheetPr>
  <dimension ref="B1:AA104"/>
  <sheetViews>
    <sheetView workbookViewId="0">
      <selection activeCell="I25" sqref="I25"/>
    </sheetView>
  </sheetViews>
  <sheetFormatPr defaultRowHeight="15" x14ac:dyDescent="0.25"/>
  <cols>
    <col min="1" max="1" width="4.140625" style="74" customWidth="1"/>
    <col min="2" max="2" width="17.85546875" style="74" customWidth="1"/>
    <col min="3" max="3" width="10.140625" style="74" customWidth="1"/>
    <col min="4" max="6" width="14" style="74" customWidth="1"/>
    <col min="7" max="7" width="8.7109375" style="74" customWidth="1"/>
    <col min="8" max="8" width="21.140625" style="74" bestFit="1" customWidth="1"/>
    <col min="9" max="9" width="14" style="74" customWidth="1"/>
    <col min="10" max="10" width="11.42578125" style="74" customWidth="1"/>
    <col min="11" max="11" width="8.7109375" style="74" customWidth="1"/>
    <col min="12" max="12" width="16.42578125" style="74" bestFit="1" customWidth="1"/>
    <col min="13" max="13" width="14" style="74" customWidth="1"/>
    <col min="14" max="14" width="17.140625" style="74" customWidth="1"/>
    <col min="15" max="15" width="5.42578125" style="74" customWidth="1"/>
    <col min="16" max="16" width="4.5703125" style="74" customWidth="1"/>
    <col min="17" max="16384" width="9.140625" style="74"/>
  </cols>
  <sheetData>
    <row r="1" spans="2:27" ht="15.75" thickBot="1" x14ac:dyDescent="0.3"/>
    <row r="2" spans="2:27" ht="20.100000000000001" customHeight="1" x14ac:dyDescent="0.25">
      <c r="B2" s="92" t="s">
        <v>148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36" t="s">
        <v>129</v>
      </c>
      <c r="R2" s="131"/>
      <c r="S2" s="131"/>
      <c r="T2" s="131"/>
      <c r="U2" s="131"/>
      <c r="V2" s="131"/>
      <c r="W2" s="131"/>
      <c r="X2" s="131"/>
      <c r="Y2" s="131"/>
      <c r="Z2" s="131"/>
      <c r="AA2" s="132"/>
    </row>
    <row r="3" spans="2:27" ht="20.100000000000001" customHeight="1" x14ac:dyDescent="0.25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5"/>
    </row>
    <row r="4" spans="2:27" ht="20.100000000000001" customHeight="1" x14ac:dyDescent="0.25">
      <c r="B4" s="101" t="s">
        <v>33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75"/>
      <c r="Q4" s="76"/>
      <c r="R4" s="77"/>
      <c r="S4" s="77"/>
      <c r="T4" s="77"/>
      <c r="U4" s="77"/>
      <c r="V4" s="77"/>
      <c r="W4" s="77"/>
      <c r="X4" s="77"/>
      <c r="Y4" s="77"/>
      <c r="Z4" s="77"/>
      <c r="AA4" s="78"/>
    </row>
    <row r="5" spans="2:27" ht="33" customHeight="1" x14ac:dyDescent="0.25">
      <c r="B5" s="138" t="s">
        <v>143</v>
      </c>
      <c r="C5" s="139"/>
      <c r="D5" s="140" t="s">
        <v>128</v>
      </c>
      <c r="E5" s="139"/>
      <c r="F5" s="141" t="s">
        <v>72</v>
      </c>
      <c r="G5" s="142"/>
      <c r="H5" s="141" t="s">
        <v>36</v>
      </c>
      <c r="I5" s="142"/>
      <c r="J5" s="141" t="s">
        <v>37</v>
      </c>
      <c r="K5" s="142"/>
      <c r="L5" s="140" t="s">
        <v>144</v>
      </c>
      <c r="M5" s="139"/>
      <c r="N5" s="143" t="s">
        <v>125</v>
      </c>
      <c r="O5" s="144"/>
      <c r="P5" s="78"/>
      <c r="Q5" s="76"/>
      <c r="R5" s="77"/>
      <c r="S5" s="77"/>
      <c r="T5" s="77"/>
      <c r="U5" s="77"/>
      <c r="V5" s="77"/>
      <c r="W5" s="77"/>
      <c r="X5" s="77"/>
      <c r="Y5" s="77"/>
      <c r="Z5" s="77"/>
      <c r="AA5" s="78"/>
    </row>
    <row r="6" spans="2:27" ht="15" customHeight="1" x14ac:dyDescent="0.25">
      <c r="B6" s="115">
        <f>IFERROR(COUNTIFS(TRATAMENTO!B:B,"Loja Asa Norte",TRATAMENTO!K:K,"OK")/(COUNTIFS(TRATAMENTO!B:B,"Loja Asa Norte",TRATAMENTO!K:K,"OK")+COUNTIFS(TRATAMENTO!B:B,"Loja Asa Norte",TRATAMENTO!K:K,"NOK")),0)</f>
        <v>0</v>
      </c>
      <c r="C6" s="129">
        <v>0</v>
      </c>
      <c r="D6" s="107">
        <f>IFERROR(SUMIFS(TRATAMENTO!V5:V500,TRATAMENTO!B5:B500,"Loja Asa Norte",TRATAMENTO!V5:V500,"&gt;0")/COUNTIFS(TRATAMENTO!B5:B500,"Loja Asa Norte",TRATAMENTO!V5:V500,"&gt;0"),0)</f>
        <v>0.29999999999999988</v>
      </c>
      <c r="E6" s="129">
        <v>0</v>
      </c>
      <c r="F6" s="107">
        <f>IFERROR(COUNTIFS(CONTROLE_DIARIO!B6:B500,"Loja Asa Norte",CONTROLE_DIARIO!F6:F500,"SIM")/(COUNTIFS(CONTROLE_DIARIO!B6:B500,"Loja Asa Norte",CONTROLE_DIARIO!F6:F500,"SIM")+COUNTIFS(CONTROLE_DIARIO!B6:B500,"Loja Asa Norte",CONTROLE_DIARIO!F6:F500,"NÃO")),0)</f>
        <v>0</v>
      </c>
      <c r="G6" s="129">
        <v>0</v>
      </c>
      <c r="H6" s="107">
        <f>IFERROR(COUNTIFS(CONTROLE_DIARIO!B6:B500,"Loja Asa Norte",CONTROLE_DIARIO!J6:J500,"SIM")/(COUNTIFS(CONTROLE_DIARIO!B6:B500,"Loja Asa Norte",CONTROLE_DIARIO!J6:J500,"SIM")+COUNTIFS(CONTROLE_DIARIO!B6:B500,"Loja Asa Norte",CONTROLE_DIARIO!J6:J500,"NÃO")),0)</f>
        <v>0</v>
      </c>
      <c r="I6" s="129">
        <v>0</v>
      </c>
      <c r="J6" s="107">
        <f>IFERROR(COUNTIFS(CONTROLE_DIARIO!B6:B500,"Loja Asa Norte",CONTROLE_DIARIO!I6:I500,"SIM")/(COUNTIFS(CONTROLE_DIARIO!B6:B500,"Loja Asa Norte",CONTROLE_DIARIO!I6:I500,"SIM")+COUNTIFS(CONTROLE_DIARIO!B6:B500,"Loja Asa Norte",CONTROLE_DIARIO!I6:I500,"NÃO")),0)</f>
        <v>1</v>
      </c>
      <c r="K6" s="129">
        <v>0</v>
      </c>
      <c r="L6" s="120">
        <f>IFERROR(COUNTIFS(TRATAMENTO!B:B,"Loja Asa Norte",TRATAMENTO!K:K,"NOK")/(COUNTIFS(TRATAMENTO!B:B,"Loja Asa Norte",TRATAMENTO!K:K,"OK")+COUNTIFS(TRATAMENTO!B:B,"Loja Asa Norte",TRATAMENTO!K:K,"NOK")),0)</f>
        <v>1</v>
      </c>
      <c r="M6" s="129">
        <v>0</v>
      </c>
      <c r="N6" s="126">
        <f>COUNTIF(CONTROLE_DIARIO!B:B,"Loja Asa Norte")</f>
        <v>33</v>
      </c>
      <c r="O6" s="126">
        <v>0</v>
      </c>
      <c r="P6" s="78"/>
      <c r="Q6" s="76"/>
      <c r="R6" s="77"/>
      <c r="S6" s="77"/>
      <c r="T6" s="77"/>
      <c r="U6" s="77"/>
      <c r="V6" s="77"/>
      <c r="W6" s="77"/>
      <c r="X6" s="77"/>
      <c r="Y6" s="77"/>
      <c r="Z6" s="77"/>
      <c r="AA6" s="78"/>
    </row>
    <row r="7" spans="2:27" ht="42" customHeight="1" x14ac:dyDescent="0.25">
      <c r="B7" s="130">
        <v>0</v>
      </c>
      <c r="C7" s="129">
        <v>0</v>
      </c>
      <c r="D7" s="129">
        <v>0.29999999999999993</v>
      </c>
      <c r="E7" s="129">
        <v>0</v>
      </c>
      <c r="F7" s="129">
        <v>0</v>
      </c>
      <c r="G7" s="129">
        <v>0</v>
      </c>
      <c r="H7" s="129">
        <v>0</v>
      </c>
      <c r="I7" s="129">
        <v>0</v>
      </c>
      <c r="J7" s="129">
        <v>1</v>
      </c>
      <c r="K7" s="129">
        <v>0</v>
      </c>
      <c r="L7" s="129">
        <v>1</v>
      </c>
      <c r="M7" s="129">
        <v>0</v>
      </c>
      <c r="N7" s="126">
        <v>21</v>
      </c>
      <c r="O7" s="126">
        <v>0</v>
      </c>
      <c r="P7" s="78"/>
      <c r="Q7" s="76"/>
      <c r="R7" s="77"/>
      <c r="S7" s="77"/>
      <c r="T7" s="77"/>
      <c r="U7" s="77"/>
      <c r="V7" s="77"/>
      <c r="W7" s="77"/>
      <c r="X7" s="77"/>
      <c r="Y7" s="77"/>
      <c r="Z7" s="77"/>
      <c r="AA7" s="78"/>
    </row>
    <row r="8" spans="2:27" x14ac:dyDescent="0.25"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8"/>
      <c r="Q8" s="76"/>
      <c r="R8" s="77"/>
      <c r="S8" s="77"/>
      <c r="T8" s="77"/>
      <c r="U8" s="77"/>
      <c r="V8" s="77"/>
      <c r="W8" s="77"/>
      <c r="X8" s="77"/>
      <c r="Y8" s="77"/>
      <c r="Z8" s="77"/>
      <c r="AA8" s="78"/>
    </row>
    <row r="9" spans="2:27" ht="20.100000000000001" customHeight="1" x14ac:dyDescent="0.25">
      <c r="B9" s="127" t="s">
        <v>38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78"/>
      <c r="Q9" s="76"/>
      <c r="R9" s="77"/>
      <c r="S9" s="77"/>
      <c r="T9" s="77"/>
      <c r="U9" s="77"/>
      <c r="V9" s="77"/>
      <c r="W9" s="77"/>
      <c r="X9" s="77"/>
      <c r="Y9" s="77"/>
      <c r="Z9" s="77"/>
      <c r="AA9" s="78"/>
    </row>
    <row r="10" spans="2:27" ht="15.75" thickBot="1" x14ac:dyDescent="0.3"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8"/>
      <c r="Q10" s="76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2:27" ht="20.100000000000001" customHeight="1" x14ac:dyDescent="0.25">
      <c r="B11" s="98" t="s">
        <v>58</v>
      </c>
      <c r="C11" s="99"/>
      <c r="D11" s="99"/>
      <c r="E11" s="99"/>
      <c r="F11" s="100"/>
      <c r="G11" s="77"/>
      <c r="H11" s="98" t="s">
        <v>44</v>
      </c>
      <c r="I11" s="99"/>
      <c r="J11" s="100"/>
      <c r="K11" s="77"/>
      <c r="L11" s="117" t="s">
        <v>145</v>
      </c>
      <c r="M11" s="118"/>
      <c r="N11" s="119"/>
      <c r="O11" s="77"/>
      <c r="P11" s="78"/>
      <c r="Q11" s="76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2:27" ht="20.100000000000001" customHeight="1" x14ac:dyDescent="0.25">
      <c r="B12" s="26" t="s">
        <v>28</v>
      </c>
      <c r="C12" s="5" t="s">
        <v>59</v>
      </c>
      <c r="D12" s="5" t="s">
        <v>42</v>
      </c>
      <c r="E12" s="5" t="s">
        <v>43</v>
      </c>
      <c r="F12" s="27" t="s">
        <v>34</v>
      </c>
      <c r="G12" s="77"/>
      <c r="H12" s="26" t="s">
        <v>46</v>
      </c>
      <c r="I12" s="5" t="s">
        <v>47</v>
      </c>
      <c r="J12" s="27" t="s">
        <v>48</v>
      </c>
      <c r="K12" s="77"/>
      <c r="L12" s="66" t="s">
        <v>49</v>
      </c>
      <c r="M12" s="65" t="s">
        <v>47</v>
      </c>
      <c r="N12" s="67" t="s">
        <v>48</v>
      </c>
      <c r="O12" s="77"/>
      <c r="P12" s="78"/>
      <c r="Q12" s="76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2:27" ht="20.100000000000001" customHeight="1" x14ac:dyDescent="0.25">
      <c r="B13" s="62">
        <v>46113</v>
      </c>
      <c r="C13" s="3">
        <f>COUNTIFS(TRATAMENTO!B:B,"Loja Asa Norte",TRATAMENTO!A:A,"&gt;="&amp;B13,TRATAMENTO!A:A,"&lt;"&amp;EDATE(B13,1))</f>
        <v>0</v>
      </c>
      <c r="D13" s="3">
        <f>COUNTIFS(TRATAMENTO!B:B,"Loja Asa Norte",TRATAMENTO!A:A,"&gt;="&amp;B13,TRATAMENTO!A:A,"&lt;"&amp;EDATE(B13,1),TRATAMENTO!K:K,"OK")</f>
        <v>0</v>
      </c>
      <c r="E13" s="3">
        <f>COUNTIFS(TRATAMENTO!B:B,"Loja Asa Norte",TRATAMENTO!A:A,"&gt;="&amp;B13,TRATAMENTO!A:A,"&lt;"&amp;EDATE(B13,1),TRATAMENTO!K:K,"NOK")</f>
        <v>0</v>
      </c>
      <c r="F13" s="34">
        <f t="shared" ref="F13:F21" si="0">IFERROR(D13/C13,0)</f>
        <v>0</v>
      </c>
      <c r="G13" s="77"/>
      <c r="H13" s="33" t="str">
        <f>AUXILIAR!I3</f>
        <v>Sem assinatura</v>
      </c>
      <c r="I13" s="3">
        <f>COUNTIFS(TRATAMENTO!B:B,"Loja Asa Norte",TRATAMENTO!R:R,H13)</f>
        <v>0</v>
      </c>
      <c r="J13" s="34">
        <f t="shared" ref="J13:J22" si="1">IFERROR(I13/SUM($I$13:$I$21),0)</f>
        <v>0</v>
      </c>
      <c r="K13" s="77"/>
      <c r="L13" s="79" t="s">
        <v>42</v>
      </c>
      <c r="M13" s="80">
        <f>COUNTIFS(TRATAMENTO!B:B,"Loja Asa Norte",TRATAMENTO!K:K,"OK")</f>
        <v>0</v>
      </c>
      <c r="N13" s="81">
        <f>IFERROR(M13/(M13+M14),0)</f>
        <v>0</v>
      </c>
      <c r="O13" s="77"/>
      <c r="P13" s="78"/>
      <c r="Q13" s="76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2:27" ht="20.100000000000001" customHeight="1" thickBot="1" x14ac:dyDescent="0.3">
      <c r="B14" s="62">
        <v>46143</v>
      </c>
      <c r="C14" s="3">
        <f>COUNTIFS(TRATAMENTO!B:B,"Loja Asa Norte",TRATAMENTO!A:A,"&gt;="&amp;B14,TRATAMENTO!A:A,"&lt;"&amp;EDATE(B14,1))</f>
        <v>33</v>
      </c>
      <c r="D14" s="3">
        <f>COUNTIFS(TRATAMENTO!B:B,"Loja Asa Norte",TRATAMENTO!A:A,"&gt;="&amp;B14,TRATAMENTO!A:A,"&lt;"&amp;EDATE(B14,1),TRATAMENTO!K:K,"OK")</f>
        <v>0</v>
      </c>
      <c r="E14" s="3">
        <f>COUNTIFS(TRATAMENTO!B:B,"Loja Asa Norte",TRATAMENTO!A:A,"&gt;="&amp;B14,TRATAMENTO!A:A,"&lt;"&amp;EDATE(B14,1),TRATAMENTO!K:K,"NOK")</f>
        <v>33</v>
      </c>
      <c r="F14" s="34">
        <f t="shared" si="0"/>
        <v>0</v>
      </c>
      <c r="G14" s="77"/>
      <c r="H14" s="33" t="str">
        <f>AUXILIAR!I4</f>
        <v>Sem nenhuma foto</v>
      </c>
      <c r="I14" s="3">
        <f>COUNTIFS(TRATAMENTO!B:B,"Loja Asa Norte",TRATAMENTO!L:L,H14)</f>
        <v>0</v>
      </c>
      <c r="J14" s="34">
        <f t="shared" si="1"/>
        <v>0</v>
      </c>
      <c r="K14" s="77"/>
      <c r="L14" s="82" t="s">
        <v>43</v>
      </c>
      <c r="M14" s="83">
        <f>COUNTIFS(TRATAMENTO!B:B,"Loja Asa Norte",TRATAMENTO!K:K,"NOK")</f>
        <v>33</v>
      </c>
      <c r="N14" s="84">
        <f>IFERROR(M14/(M13+M14),0)</f>
        <v>1</v>
      </c>
      <c r="O14" s="77"/>
      <c r="P14" s="78"/>
      <c r="Q14" s="76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2:27" ht="20.100000000000001" customHeight="1" thickBot="1" x14ac:dyDescent="0.3">
      <c r="B15" s="62">
        <v>46174</v>
      </c>
      <c r="C15" s="3">
        <f>COUNTIFS(TRATAMENTO!B:B,"Loja Asa Norte",TRATAMENTO!A:A,"&gt;="&amp;B15,TRATAMENTO!A:A,"&lt;"&amp;EDATE(B15,1))</f>
        <v>0</v>
      </c>
      <c r="D15" s="3">
        <f>COUNTIFS(TRATAMENTO!B:B,"Loja Asa Norte",TRATAMENTO!A:A,"&gt;="&amp;B15,TRATAMENTO!A:A,"&lt;"&amp;EDATE(B15,1),TRATAMENTO!K:K,"OK")</f>
        <v>0</v>
      </c>
      <c r="E15" s="3">
        <f>COUNTIFS(TRATAMENTO!B:B,"Loja Asa Norte",TRATAMENTO!A:A,"&gt;="&amp;B15,TRATAMENTO!A:A,"&lt;"&amp;EDATE(B15,1),TRATAMENTO!K:K,"NOK")</f>
        <v>0</v>
      </c>
      <c r="F15" s="34">
        <f t="shared" si="0"/>
        <v>0</v>
      </c>
      <c r="G15" s="77"/>
      <c r="H15" s="33" t="str">
        <f>AUXILIAR!I5</f>
        <v>Sem foto fachada</v>
      </c>
      <c r="I15" s="3">
        <f>COUNTIFS(TRATAMENTO!B:B,"Loja Asa Norte",TRATAMENTO!L:L,H15)</f>
        <v>0</v>
      </c>
      <c r="J15" s="34">
        <f t="shared" si="1"/>
        <v>0</v>
      </c>
      <c r="K15" s="77"/>
      <c r="L15" s="77"/>
      <c r="M15" s="77"/>
      <c r="N15" s="77"/>
      <c r="O15" s="77"/>
      <c r="P15" s="78"/>
      <c r="Q15" s="76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2:27" ht="20.100000000000001" customHeight="1" x14ac:dyDescent="0.25">
      <c r="B16" s="62">
        <v>46204</v>
      </c>
      <c r="C16" s="3">
        <f>COUNTIFS(TRATAMENTO!B:B,"Loja Asa Norte",TRATAMENTO!A:A,"&gt;="&amp;B16,TRATAMENTO!A:A,"&lt;"&amp;EDATE(B16,1))</f>
        <v>0</v>
      </c>
      <c r="D16" s="3">
        <f>COUNTIFS(TRATAMENTO!B:B,"Loja Asa Norte",TRATAMENTO!A:A,"&gt;="&amp;B16,TRATAMENTO!A:A,"&lt;"&amp;EDATE(B16,1),TRATAMENTO!K:K,"OK")</f>
        <v>0</v>
      </c>
      <c r="E16" s="3">
        <f>COUNTIFS(TRATAMENTO!B:B,"Loja Asa Norte",TRATAMENTO!A:A,"&gt;="&amp;B16,TRATAMENTO!A:A,"&lt;"&amp;EDATE(B16,1),TRATAMENTO!K:K,"NOK")</f>
        <v>0</v>
      </c>
      <c r="F16" s="34">
        <f t="shared" si="0"/>
        <v>0</v>
      </c>
      <c r="G16" s="77"/>
      <c r="H16" s="33" t="str">
        <f>AUXILIAR!I6</f>
        <v>Sem foto produtos</v>
      </c>
      <c r="I16" s="3">
        <f>COUNTIFS(TRATAMENTO!B:B,"Loja Asa Norte",TRATAMENTO!L:L,H16)</f>
        <v>0</v>
      </c>
      <c r="J16" s="34">
        <f t="shared" si="1"/>
        <v>0</v>
      </c>
      <c r="K16" s="77"/>
      <c r="L16" s="98" t="s">
        <v>45</v>
      </c>
      <c r="M16" s="100"/>
      <c r="N16" s="77"/>
      <c r="O16" s="77"/>
      <c r="P16" s="78"/>
      <c r="Q16" s="76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2:27" ht="20.100000000000001" customHeight="1" x14ac:dyDescent="0.25">
      <c r="B17" s="62">
        <v>46235</v>
      </c>
      <c r="C17" s="3">
        <f>COUNTIFS(TRATAMENTO!B:B,"Loja Asa Norte",TRATAMENTO!A:A,"&gt;="&amp;B17,TRATAMENTO!A:A,"&lt;"&amp;EDATE(B17,1))</f>
        <v>0</v>
      </c>
      <c r="D17" s="3">
        <f>COUNTIFS(TRATAMENTO!B:B,"Loja Asa Norte",TRATAMENTO!A:A,"&gt;="&amp;B17,TRATAMENTO!A:A,"&lt;"&amp;EDATE(B17,1),TRATAMENTO!K:K,"OK")</f>
        <v>0</v>
      </c>
      <c r="E17" s="3">
        <f>COUNTIFS(TRATAMENTO!B:B,"Loja Asa Norte",TRATAMENTO!A:A,"&gt;="&amp;B17,TRATAMENTO!A:A,"&lt;"&amp;EDATE(B17,1),TRATAMENTO!K:K,"NOK")</f>
        <v>0</v>
      </c>
      <c r="F17" s="34">
        <f t="shared" si="0"/>
        <v>0</v>
      </c>
      <c r="G17" s="77"/>
      <c r="H17" s="33" t="str">
        <f>AUXILIAR!I7</f>
        <v>Sem fotos e assinatura</v>
      </c>
      <c r="I17" s="3">
        <f>COUNTIFS(TRATAMENTO!B:B,"Loja Asa Norte",TRATAMENTO!R:R,H17)</f>
        <v>0</v>
      </c>
      <c r="J17" s="34">
        <f t="shared" si="1"/>
        <v>0</v>
      </c>
      <c r="K17" s="77"/>
      <c r="L17" s="26" t="s">
        <v>49</v>
      </c>
      <c r="M17" s="27" t="s">
        <v>47</v>
      </c>
      <c r="N17" s="77"/>
      <c r="O17" s="77"/>
      <c r="P17" s="78"/>
      <c r="Q17" s="76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2:27" ht="20.100000000000001" customHeight="1" x14ac:dyDescent="0.25">
      <c r="B18" s="62">
        <v>46266</v>
      </c>
      <c r="C18" s="3">
        <f>COUNTIFS(TRATAMENTO!B:B,"Loja Asa Norte",TRATAMENTO!A:A,"&gt;="&amp;B18,TRATAMENTO!A:A,"&lt;"&amp;EDATE(B18,1))</f>
        <v>0</v>
      </c>
      <c r="D18" s="3">
        <f>COUNTIFS(TRATAMENTO!B:B,"Loja Asa Norte",TRATAMENTO!A:A,"&gt;="&amp;B18,TRATAMENTO!A:A,"&lt;"&amp;EDATE(B18,1),TRATAMENTO!K:K,"OK")</f>
        <v>0</v>
      </c>
      <c r="E18" s="3">
        <f>COUNTIFS(TRATAMENTO!B:B,"Loja Asa Norte",TRATAMENTO!A:A,"&gt;="&amp;B18,TRATAMENTO!A:A,"&lt;"&amp;EDATE(B18,1),TRATAMENTO!K:K,"NOK")</f>
        <v>0</v>
      </c>
      <c r="F18" s="34">
        <f t="shared" si="0"/>
        <v>0</v>
      </c>
      <c r="G18" s="77"/>
      <c r="H18" s="33" t="str">
        <f>AUXILIAR!I8</f>
        <v>Não conferido</v>
      </c>
      <c r="I18" s="3">
        <f>COUNTIFS(TRATAMENTO!B:B,"Loja Asa Norte",TRATAMENTO!R:R,H18)</f>
        <v>0</v>
      </c>
      <c r="J18" s="34">
        <f t="shared" si="1"/>
        <v>0</v>
      </c>
      <c r="K18" s="77"/>
      <c r="L18" s="85" t="str">
        <f>AUXILIAR!G2</f>
        <v>Entrega Total</v>
      </c>
      <c r="M18" s="29">
        <f>COUNTIFS(CONTROLE_DIARIO!B:B,"Loja Asa Norte",CONTROLE_DIARIO!E:E,L18)</f>
        <v>24</v>
      </c>
      <c r="N18" s="77"/>
      <c r="O18" s="77"/>
      <c r="P18" s="78"/>
      <c r="Q18" s="76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2:27" ht="20.100000000000001" customHeight="1" x14ac:dyDescent="0.25">
      <c r="B19" s="62">
        <v>46296</v>
      </c>
      <c r="C19" s="3">
        <f>COUNTIFS(TRATAMENTO!B:B,"Loja Asa Norte",TRATAMENTO!A:A,"&gt;="&amp;B19,TRATAMENTO!A:A,"&lt;"&amp;EDATE(B19,1))</f>
        <v>0</v>
      </c>
      <c r="D19" s="3">
        <f>COUNTIFS(TRATAMENTO!B:B,"Loja Asa Norte",TRATAMENTO!A:A,"&gt;="&amp;B19,TRATAMENTO!A:A,"&lt;"&amp;EDATE(B19,1),TRATAMENTO!K:K,"OK")</f>
        <v>0</v>
      </c>
      <c r="E19" s="3">
        <f>COUNTIFS(TRATAMENTO!B:B,"Loja Asa Norte",TRATAMENTO!A:A,"&gt;="&amp;B19,TRATAMENTO!A:A,"&lt;"&amp;EDATE(B19,1),TRATAMENTO!K:K,"NOK")</f>
        <v>0</v>
      </c>
      <c r="F19" s="34">
        <f t="shared" si="0"/>
        <v>0</v>
      </c>
      <c r="G19" s="77"/>
      <c r="H19" s="33" t="str">
        <f>AUXILIAR!I9</f>
        <v>Não baixado</v>
      </c>
      <c r="I19" s="3">
        <f>COUNTIFS(TRATAMENTO!B:B,"Loja Asa Norte",TRATAMENTO!R:R,H19)</f>
        <v>0</v>
      </c>
      <c r="J19" s="34">
        <f t="shared" si="1"/>
        <v>0</v>
      </c>
      <c r="K19" s="77"/>
      <c r="L19" s="85" t="str">
        <f>AUXILIAR!G3</f>
        <v>Retorno Total</v>
      </c>
      <c r="M19" s="29">
        <f>COUNTIFS(CONTROLE_DIARIO!B:B,"Loja Asa Norte",CONTROLE_DIARIO!E:E,L19)</f>
        <v>0</v>
      </c>
      <c r="N19" s="77"/>
      <c r="O19" s="77"/>
      <c r="P19" s="78"/>
      <c r="Q19" s="76"/>
      <c r="R19" s="77"/>
      <c r="S19" s="77"/>
      <c r="T19" s="77"/>
      <c r="U19" s="77"/>
      <c r="V19" s="77"/>
      <c r="W19" s="77"/>
      <c r="X19" s="77"/>
      <c r="Y19" s="77"/>
      <c r="Z19" s="77"/>
      <c r="AA19" s="78"/>
    </row>
    <row r="20" spans="2:27" ht="20.100000000000001" customHeight="1" x14ac:dyDescent="0.25">
      <c r="B20" s="62">
        <v>46327</v>
      </c>
      <c r="C20" s="3">
        <f>COUNTIFS(TRATAMENTO!B:B,"Loja Asa Norte",TRATAMENTO!A:A,"&gt;="&amp;B20,TRATAMENTO!A:A,"&lt;"&amp;EDATE(B20,1))</f>
        <v>0</v>
      </c>
      <c r="D20" s="3">
        <f>COUNTIFS(TRATAMENTO!B:B,"Loja Asa Norte",TRATAMENTO!A:A,"&gt;="&amp;B20,TRATAMENTO!A:A,"&lt;"&amp;EDATE(B20,1),TRATAMENTO!K:K,"OK")</f>
        <v>0</v>
      </c>
      <c r="E20" s="3">
        <f>COUNTIFS(TRATAMENTO!B:B,"Loja Asa Norte",TRATAMENTO!A:A,"&gt;="&amp;B20,TRATAMENTO!A:A,"&lt;"&amp;EDATE(B20,1),TRATAMENTO!K:K,"NOK")</f>
        <v>0</v>
      </c>
      <c r="F20" s="34">
        <f t="shared" si="0"/>
        <v>0</v>
      </c>
      <c r="G20" s="77"/>
      <c r="H20" s="33" t="s">
        <v>137</v>
      </c>
      <c r="I20" s="3">
        <f>COUNTIFS(TRATAMENTO!B:B,"Loja Asa Norte",TRATAMENTO!R:R,H20)</f>
        <v>24</v>
      </c>
      <c r="J20" s="34">
        <f t="shared" si="1"/>
        <v>0.72727272727272729</v>
      </c>
      <c r="K20" s="77"/>
      <c r="L20" s="85" t="str">
        <f>AUXILIAR!G4</f>
        <v>Entrega Parcial</v>
      </c>
      <c r="M20" s="29">
        <f>COUNTIFS(CONTROLE_DIARIO!B:B,"Loja Asa Norte",CONTROLE_DIARIO!E:E,L20)</f>
        <v>0</v>
      </c>
      <c r="N20" s="77"/>
      <c r="O20" s="77"/>
      <c r="P20" s="78"/>
      <c r="Q20" s="76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2:27" ht="15.75" thickBot="1" x14ac:dyDescent="0.3">
      <c r="B21" s="63">
        <v>46357</v>
      </c>
      <c r="C21" s="36">
        <f>COUNTIFS(TRATAMENTO!B:B,"Loja Asa Norte",TRATAMENTO!A:A,"&gt;="&amp;B21,TRATAMENTO!A:A,"&lt;"&amp;EDATE(B21,1))</f>
        <v>0</v>
      </c>
      <c r="D21" s="36">
        <f>COUNTIFS(TRATAMENTO!B:B,"Loja Asa Norte",TRATAMENTO!A:A,"&gt;="&amp;B21,TRATAMENTO!A:A,"&lt;"&amp;EDATE(B21,1),TRATAMENTO!K:K,"OK")</f>
        <v>0</v>
      </c>
      <c r="E21" s="36">
        <f>COUNTIFS(TRATAMENTO!B:B,"Loja Asa Norte",TRATAMENTO!A:A,"&gt;="&amp;B21,TRATAMENTO!A:A,"&lt;"&amp;EDATE(B21,1),TRATAMENTO!K:K,"NOK")</f>
        <v>0</v>
      </c>
      <c r="F21" s="37">
        <f t="shared" si="0"/>
        <v>0</v>
      </c>
      <c r="G21" s="77"/>
      <c r="H21" s="59" t="str">
        <f>AUXILIAR!I10</f>
        <v>Manifesto cancelado</v>
      </c>
      <c r="I21" s="60">
        <f>COUNTIFS(TRATAMENTO!B:B,"Loja Asa Norte",TRATAMENTO!R:R,H21)</f>
        <v>9</v>
      </c>
      <c r="J21" s="34">
        <f t="shared" si="1"/>
        <v>0.27272727272727271</v>
      </c>
      <c r="K21" s="77"/>
      <c r="L21" s="85" t="str">
        <f>AUXILIAR!G5</f>
        <v>Aberto</v>
      </c>
      <c r="M21" s="29">
        <f>COUNTIFS(CONTROLE_DIARIO!B:B,"Loja Asa Norte",CONTROLE_DIARIO!E:E,L21)</f>
        <v>0</v>
      </c>
      <c r="N21" s="77"/>
      <c r="O21" s="77"/>
      <c r="P21" s="78"/>
      <c r="Q21" s="76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2:27" ht="19.5" customHeight="1" thickBot="1" x14ac:dyDescent="0.3">
      <c r="B22" s="76"/>
      <c r="C22" s="77"/>
      <c r="D22" s="77"/>
      <c r="E22" s="77"/>
      <c r="F22" s="77"/>
      <c r="G22" s="77"/>
      <c r="H22" s="35" t="str">
        <f>AUXILIAR!I11</f>
        <v>Outro</v>
      </c>
      <c r="I22" s="36">
        <f>COUNTIFS(TRATAMENTO!B:B,"Loja Asa Norte",TRATAMENTO!R:R,H22)</f>
        <v>0</v>
      </c>
      <c r="J22" s="37">
        <f t="shared" si="1"/>
        <v>0</v>
      </c>
      <c r="K22" s="77"/>
      <c r="L22" s="86" t="str">
        <f>AUXILIAR!G6</f>
        <v>Devolução Avaria</v>
      </c>
      <c r="M22" s="29">
        <f>COUNTIFS(CONTROLE_DIARIO!B:B,"Loja Asa Norte",CONTROLE_DIARIO!E:E,L22)</f>
        <v>0</v>
      </c>
      <c r="N22" s="77"/>
      <c r="O22" s="77"/>
      <c r="P22" s="78"/>
      <c r="Q22" s="76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2:27" ht="20.100000000000001" customHeight="1" thickBot="1" x14ac:dyDescent="0.3">
      <c r="B23" s="112" t="s">
        <v>40</v>
      </c>
      <c r="C23" s="124"/>
      <c r="D23" s="124"/>
      <c r="E23" s="124"/>
      <c r="F23" s="125"/>
      <c r="G23" s="77"/>
      <c r="H23" s="77"/>
      <c r="I23" s="77"/>
      <c r="J23" s="77"/>
      <c r="K23" s="77"/>
      <c r="L23" s="87" t="str">
        <f>AUXILIAR!G7</f>
        <v>Cancelado</v>
      </c>
      <c r="M23" s="40">
        <f>COUNTIFS(CONTROLE_DIARIO!B:B,"Loja Asa Norte",CONTROLE_DIARIO!E:E,L23)</f>
        <v>9</v>
      </c>
      <c r="N23" s="77"/>
      <c r="O23" s="77"/>
      <c r="P23" s="78"/>
      <c r="Q23" s="76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2:27" ht="20.100000000000001" customHeight="1" x14ac:dyDescent="0.25">
      <c r="B24" s="26" t="s">
        <v>4</v>
      </c>
      <c r="C24" s="5" t="s">
        <v>41</v>
      </c>
      <c r="D24" s="5" t="s">
        <v>42</v>
      </c>
      <c r="E24" s="5" t="s">
        <v>43</v>
      </c>
      <c r="F24" s="27" t="s">
        <v>34</v>
      </c>
      <c r="G24" s="77"/>
      <c r="H24" s="77"/>
      <c r="I24" s="77"/>
      <c r="J24" s="77"/>
      <c r="K24" s="77"/>
      <c r="L24" s="77"/>
      <c r="M24" s="77"/>
      <c r="N24" s="77"/>
      <c r="O24" s="77"/>
      <c r="P24" s="78"/>
      <c r="Q24" s="76"/>
      <c r="R24" s="88" t="s">
        <v>130</v>
      </c>
      <c r="S24" s="77"/>
      <c r="T24" s="77"/>
      <c r="U24" s="77"/>
      <c r="V24" s="77"/>
      <c r="W24" s="77"/>
      <c r="X24" s="77"/>
      <c r="Y24" s="77"/>
      <c r="Z24" s="77"/>
      <c r="AA24" s="78"/>
    </row>
    <row r="25" spans="2:27" ht="20.100000000000001" customHeight="1" thickBot="1" x14ac:dyDescent="0.3">
      <c r="B25" s="41" t="str">
        <f>AUXILIAR!E4</f>
        <v>J. Alessandro</v>
      </c>
      <c r="C25" s="36">
        <f>COUNTIF(TRATAMENTO!B:B,"Loja Asa Norte")</f>
        <v>33</v>
      </c>
      <c r="D25" s="36">
        <f>COUNTIFS(TRATAMENTO!B:B,"Loja Asa Norte",TRATAMENTO!K:K,"OK")</f>
        <v>0</v>
      </c>
      <c r="E25" s="36">
        <f>COUNTIFS(TRATAMENTO!B:B,"Loja Asa Norte",TRATAMENTO!K:K,"NOK")</f>
        <v>33</v>
      </c>
      <c r="F25" s="37">
        <f>IFERROR(D25/C25,0)</f>
        <v>0</v>
      </c>
      <c r="G25" s="77"/>
      <c r="H25" s="77"/>
      <c r="I25" s="77"/>
      <c r="J25" s="77"/>
      <c r="K25" s="77"/>
      <c r="L25" s="77"/>
      <c r="M25" s="77"/>
      <c r="N25" s="77"/>
      <c r="O25" s="77"/>
      <c r="P25" s="78"/>
      <c r="Q25" s="76"/>
      <c r="R25" s="88" t="s">
        <v>131</v>
      </c>
      <c r="S25" s="77"/>
      <c r="T25" s="77"/>
      <c r="U25" s="77"/>
      <c r="V25" s="77"/>
      <c r="W25" s="77"/>
      <c r="X25" s="77"/>
      <c r="Y25" s="77"/>
      <c r="Z25" s="77"/>
      <c r="AA25" s="78"/>
    </row>
    <row r="26" spans="2:27" ht="19.5" customHeight="1" thickBot="1" x14ac:dyDescent="0.3">
      <c r="B26" s="89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  <c r="Q26" s="89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2:27" ht="20.100000000000001" customHeight="1" x14ac:dyDescent="0.25"/>
    <row r="28" spans="2:27" ht="20.100000000000001" customHeight="1" x14ac:dyDescent="0.25"/>
    <row r="29" spans="2:27" ht="20.100000000000001" customHeight="1" x14ac:dyDescent="0.25"/>
    <row r="30" spans="2:27" ht="20.100000000000001" customHeight="1" x14ac:dyDescent="0.25"/>
    <row r="31" spans="2:27" ht="20.100000000000001" customHeight="1" x14ac:dyDescent="0.25"/>
    <row r="32" spans="2:27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</sheetData>
  <mergeCells count="23">
    <mergeCell ref="B2:P3"/>
    <mergeCell ref="Q2:AA3"/>
    <mergeCell ref="B4:O4"/>
    <mergeCell ref="B5:C5"/>
    <mergeCell ref="D5:E5"/>
    <mergeCell ref="F5:G5"/>
    <mergeCell ref="H5:I5"/>
    <mergeCell ref="J5:K5"/>
    <mergeCell ref="L5:M5"/>
    <mergeCell ref="N5:O5"/>
    <mergeCell ref="B23:F23"/>
    <mergeCell ref="N6:O7"/>
    <mergeCell ref="B9:O9"/>
    <mergeCell ref="B11:F11"/>
    <mergeCell ref="H11:J11"/>
    <mergeCell ref="L11:N11"/>
    <mergeCell ref="L16:M16"/>
    <mergeCell ref="B6:C7"/>
    <mergeCell ref="D6:E7"/>
    <mergeCell ref="F6:G7"/>
    <mergeCell ref="H6:I7"/>
    <mergeCell ref="J6:K7"/>
    <mergeCell ref="L6:M7"/>
  </mergeCells>
  <conditionalFormatting sqref="F25">
    <cfRule type="cellIs" dxfId="289" priority="1" operator="lessThan">
      <formula>0.85</formula>
    </cfRule>
    <cfRule type="cellIs" dxfId="288" priority="2" operator="between">
      <formula>0.85</formula>
      <formula>0.949</formula>
    </cfRule>
    <cfRule type="cellIs" dxfId="287" priority="3" operator="greaterThanOrEqual">
      <formula>0.95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73E2-A604-4EFE-A3E2-3204FA0A1CEC}">
  <sheetPr>
    <tabColor theme="4" tint="0.59999389629810485"/>
  </sheetPr>
  <dimension ref="B1:AA104"/>
  <sheetViews>
    <sheetView workbookViewId="0">
      <selection activeCell="AC19" sqref="AC19"/>
    </sheetView>
  </sheetViews>
  <sheetFormatPr defaultRowHeight="15" x14ac:dyDescent="0.25"/>
  <cols>
    <col min="1" max="1" width="4.140625" style="74" customWidth="1"/>
    <col min="2" max="2" width="17.85546875" style="74" customWidth="1"/>
    <col min="3" max="3" width="10.140625" style="74" customWidth="1"/>
    <col min="4" max="6" width="14" style="74" customWidth="1"/>
    <col min="7" max="7" width="8.7109375" style="74" customWidth="1"/>
    <col min="8" max="8" width="21.140625" style="74" bestFit="1" customWidth="1"/>
    <col min="9" max="9" width="14" style="74" customWidth="1"/>
    <col min="10" max="10" width="11.42578125" style="74" customWidth="1"/>
    <col min="11" max="11" width="8.7109375" style="74" customWidth="1"/>
    <col min="12" max="12" width="16.42578125" style="74" bestFit="1" customWidth="1"/>
    <col min="13" max="13" width="14" style="74" customWidth="1"/>
    <col min="14" max="14" width="17.140625" style="74" customWidth="1"/>
    <col min="15" max="15" width="5.42578125" style="74" customWidth="1"/>
    <col min="16" max="16" width="4.5703125" style="74" customWidth="1"/>
    <col min="17" max="16384" width="9.140625" style="74"/>
  </cols>
  <sheetData>
    <row r="1" spans="2:27" ht="15.75" thickBot="1" x14ac:dyDescent="0.3"/>
    <row r="2" spans="2:27" ht="20.100000000000001" customHeight="1" x14ac:dyDescent="0.25">
      <c r="B2" s="92" t="s">
        <v>149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36" t="s">
        <v>129</v>
      </c>
      <c r="R2" s="131"/>
      <c r="S2" s="131"/>
      <c r="T2" s="131"/>
      <c r="U2" s="131"/>
      <c r="V2" s="131"/>
      <c r="W2" s="131"/>
      <c r="X2" s="131"/>
      <c r="Y2" s="131"/>
      <c r="Z2" s="131"/>
      <c r="AA2" s="132"/>
    </row>
    <row r="3" spans="2:27" ht="20.100000000000001" customHeight="1" x14ac:dyDescent="0.25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5"/>
    </row>
    <row r="4" spans="2:27" ht="20.100000000000001" customHeight="1" x14ac:dyDescent="0.25">
      <c r="B4" s="101" t="s">
        <v>33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75"/>
      <c r="Q4" s="76"/>
      <c r="R4" s="77"/>
      <c r="S4" s="77"/>
      <c r="T4" s="77"/>
      <c r="U4" s="77"/>
      <c r="V4" s="77"/>
      <c r="W4" s="77"/>
      <c r="X4" s="77"/>
      <c r="Y4" s="77"/>
      <c r="Z4" s="77"/>
      <c r="AA4" s="78"/>
    </row>
    <row r="5" spans="2:27" ht="33" customHeight="1" x14ac:dyDescent="0.25">
      <c r="B5" s="138" t="s">
        <v>143</v>
      </c>
      <c r="C5" s="139"/>
      <c r="D5" s="140" t="s">
        <v>128</v>
      </c>
      <c r="E5" s="139"/>
      <c r="F5" s="141" t="s">
        <v>72</v>
      </c>
      <c r="G5" s="142"/>
      <c r="H5" s="141" t="s">
        <v>36</v>
      </c>
      <c r="I5" s="142"/>
      <c r="J5" s="141" t="s">
        <v>37</v>
      </c>
      <c r="K5" s="142"/>
      <c r="L5" s="140" t="s">
        <v>144</v>
      </c>
      <c r="M5" s="139"/>
      <c r="N5" s="143" t="s">
        <v>125</v>
      </c>
      <c r="O5" s="144"/>
      <c r="P5" s="78"/>
      <c r="Q5" s="76"/>
      <c r="R5" s="77"/>
      <c r="S5" s="77"/>
      <c r="T5" s="77"/>
      <c r="U5" s="77"/>
      <c r="V5" s="77"/>
      <c r="W5" s="77"/>
      <c r="X5" s="77"/>
      <c r="Y5" s="77"/>
      <c r="Z5" s="77"/>
      <c r="AA5" s="78"/>
    </row>
    <row r="6" spans="2:27" ht="15" customHeight="1" x14ac:dyDescent="0.25">
      <c r="B6" s="115">
        <f>IFERROR(COUNTIFS(TRATAMENTO!B:B,"Loja Valparaiso",TRATAMENTO!K:K,"OK")/(COUNTIFS(TRATAMENTO!B:B,"Loja Valparaiso",TRATAMENTO!K:K,"OK")+COUNTIFS(TRATAMENTO!B:B,"Loja Valparaiso",TRATAMENTO!K:K,"NOK")),0)</f>
        <v>0.75609756097560976</v>
      </c>
      <c r="C6" s="129">
        <v>0</v>
      </c>
      <c r="D6" s="107">
        <f>IFERROR(SUMIFS(TRATAMENTO!V5:V500,TRATAMENTO!B5:B500,"Loja Valparaiso",TRATAMENTO!V5:V500,"&gt;0")/COUNTIFS(TRATAMENTO!B5:B500,"Loja Valparaiso",TRATAMENTO!V5:V500,"&gt;0"),0)</f>
        <v>0.85641025641025659</v>
      </c>
      <c r="E6" s="129">
        <v>0</v>
      </c>
      <c r="F6" s="107">
        <f>IFERROR(COUNTIFS(CONTROLE_DIARIO!B6:B500,"Loja Valparaiso",CONTROLE_DIARIO!F6:F500,"SIM")/(COUNTIFS(CONTROLE_DIARIO!B6:B500,"Loja Valparaiso",CONTROLE_DIARIO!F6:F500,"SIM")+COUNTIFS(CONTROLE_DIARIO!B6:B500,"Loja Valparaiso",CONTROLE_DIARIO!F6:F500,"NÃO")),0)</f>
        <v>0.79487179487179482</v>
      </c>
      <c r="G6" s="129">
        <v>0</v>
      </c>
      <c r="H6" s="107">
        <f>IFERROR(COUNTIFS(CONTROLE_DIARIO!B6:B500,"Loja Valparaiso",CONTROLE_DIARIO!J6:J500,"SIM")/(COUNTIFS(CONTROLE_DIARIO!B6:B500,"Loja Valparaiso",CONTROLE_DIARIO!J6:J500,"SIM")+COUNTIFS(CONTROLE_DIARIO!B6:B500,"Loja Valparaiso",CONTROLE_DIARIO!J6:J500,"NÃO")),0)</f>
        <v>0.79487179487179482</v>
      </c>
      <c r="I6" s="129">
        <v>0</v>
      </c>
      <c r="J6" s="107">
        <f>IFERROR(COUNTIFS(CONTROLE_DIARIO!B6:B500,"Loja Valparaiso",CONTROLE_DIARIO!I6:I500,"SIM")/(COUNTIFS(CONTROLE_DIARIO!B6:B500,"Loja Valparaiso",CONTROLE_DIARIO!I6:I500,"SIM")+COUNTIFS(CONTROLE_DIARIO!B6:B500,"Loja Valparaiso",CONTROLE_DIARIO!I6:I500,"NÃO")),0)</f>
        <v>1</v>
      </c>
      <c r="K6" s="129">
        <v>0</v>
      </c>
      <c r="L6" s="120">
        <f>IFERROR(COUNTIFS(TRATAMENTO!B:B,"Loja Valparaiso",TRATAMENTO!K:K,"NOK")/(COUNTIFS(TRATAMENTO!B:B,"Loja Valparaiso",TRATAMENTO!K:K,"OK")+COUNTIFS(TRATAMENTO!B:B,"Loja Valparaiso",TRATAMENTO!K:K,"NOK")),0)</f>
        <v>0.24390243902439024</v>
      </c>
      <c r="M6" s="129">
        <v>0</v>
      </c>
      <c r="N6" s="126">
        <f>COUNTIF(CONTROLE_DIARIO!B:B,"Loja Valparaiso")</f>
        <v>41</v>
      </c>
      <c r="O6" s="126">
        <v>0</v>
      </c>
      <c r="P6" s="78"/>
      <c r="Q6" s="76"/>
      <c r="R6" s="77"/>
      <c r="S6" s="77"/>
      <c r="T6" s="77"/>
      <c r="U6" s="77"/>
      <c r="V6" s="77"/>
      <c r="W6" s="77"/>
      <c r="X6" s="77"/>
      <c r="Y6" s="77"/>
      <c r="Z6" s="77"/>
      <c r="AA6" s="78"/>
    </row>
    <row r="7" spans="2:27" ht="42" customHeight="1" x14ac:dyDescent="0.25">
      <c r="B7" s="130">
        <v>0.75609756097560976</v>
      </c>
      <c r="C7" s="129">
        <v>0</v>
      </c>
      <c r="D7" s="129">
        <v>0.85641025641025659</v>
      </c>
      <c r="E7" s="129">
        <v>0</v>
      </c>
      <c r="F7" s="129">
        <v>0.79487179487179482</v>
      </c>
      <c r="G7" s="129">
        <v>0</v>
      </c>
      <c r="H7" s="129">
        <v>0.79487179487179482</v>
      </c>
      <c r="I7" s="129">
        <v>0</v>
      </c>
      <c r="J7" s="129">
        <v>1</v>
      </c>
      <c r="K7" s="129">
        <v>0</v>
      </c>
      <c r="L7" s="129">
        <v>0.24390243902439024</v>
      </c>
      <c r="M7" s="129">
        <v>0</v>
      </c>
      <c r="N7" s="126">
        <v>41</v>
      </c>
      <c r="O7" s="126">
        <v>0</v>
      </c>
      <c r="P7" s="78"/>
      <c r="Q7" s="76"/>
      <c r="R7" s="77"/>
      <c r="S7" s="77"/>
      <c r="T7" s="77"/>
      <c r="U7" s="77"/>
      <c r="V7" s="77"/>
      <c r="W7" s="77"/>
      <c r="X7" s="77"/>
      <c r="Y7" s="77"/>
      <c r="Z7" s="77"/>
      <c r="AA7" s="78"/>
    </row>
    <row r="8" spans="2:27" x14ac:dyDescent="0.25"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8"/>
      <c r="Q8" s="76"/>
      <c r="R8" s="77"/>
      <c r="S8" s="77"/>
      <c r="T8" s="77"/>
      <c r="U8" s="77"/>
      <c r="V8" s="77"/>
      <c r="W8" s="77"/>
      <c r="X8" s="77"/>
      <c r="Y8" s="77"/>
      <c r="Z8" s="77"/>
      <c r="AA8" s="78"/>
    </row>
    <row r="9" spans="2:27" ht="20.100000000000001" customHeight="1" x14ac:dyDescent="0.25">
      <c r="B9" s="127" t="s">
        <v>38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78"/>
      <c r="Q9" s="76"/>
      <c r="R9" s="77"/>
      <c r="S9" s="77"/>
      <c r="T9" s="77"/>
      <c r="U9" s="77"/>
      <c r="V9" s="77"/>
      <c r="W9" s="77"/>
      <c r="X9" s="77"/>
      <c r="Y9" s="77"/>
      <c r="Z9" s="77"/>
      <c r="AA9" s="78"/>
    </row>
    <row r="10" spans="2:27" ht="15.75" thickBot="1" x14ac:dyDescent="0.3"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8"/>
      <c r="Q10" s="76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2:27" ht="20.100000000000001" customHeight="1" x14ac:dyDescent="0.25">
      <c r="B11" s="98" t="s">
        <v>58</v>
      </c>
      <c r="C11" s="99"/>
      <c r="D11" s="99"/>
      <c r="E11" s="99"/>
      <c r="F11" s="100"/>
      <c r="G11" s="77"/>
      <c r="H11" s="98" t="s">
        <v>44</v>
      </c>
      <c r="I11" s="99"/>
      <c r="J11" s="100"/>
      <c r="K11" s="77"/>
      <c r="L11" s="117" t="s">
        <v>145</v>
      </c>
      <c r="M11" s="118"/>
      <c r="N11" s="119"/>
      <c r="O11" s="77"/>
      <c r="P11" s="78"/>
      <c r="Q11" s="76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2:27" ht="20.100000000000001" customHeight="1" x14ac:dyDescent="0.25">
      <c r="B12" s="26" t="s">
        <v>28</v>
      </c>
      <c r="C12" s="5" t="s">
        <v>59</v>
      </c>
      <c r="D12" s="5" t="s">
        <v>42</v>
      </c>
      <c r="E12" s="5" t="s">
        <v>43</v>
      </c>
      <c r="F12" s="27" t="s">
        <v>34</v>
      </c>
      <c r="G12" s="77"/>
      <c r="H12" s="26" t="s">
        <v>46</v>
      </c>
      <c r="I12" s="5" t="s">
        <v>47</v>
      </c>
      <c r="J12" s="27" t="s">
        <v>48</v>
      </c>
      <c r="K12" s="77"/>
      <c r="L12" s="66" t="s">
        <v>49</v>
      </c>
      <c r="M12" s="65" t="s">
        <v>47</v>
      </c>
      <c r="N12" s="67" t="s">
        <v>48</v>
      </c>
      <c r="O12" s="77"/>
      <c r="P12" s="78"/>
      <c r="Q12" s="76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2:27" ht="20.100000000000001" customHeight="1" x14ac:dyDescent="0.25">
      <c r="B13" s="62">
        <v>46113</v>
      </c>
      <c r="C13" s="3">
        <f>COUNTIFS(TRATAMENTO!B:B,"Loja Valparaiso",TRATAMENTO!A:A,"&gt;="&amp;B13,TRATAMENTO!A:A,"&lt;"&amp;EDATE(B13,1))</f>
        <v>0</v>
      </c>
      <c r="D13" s="3">
        <f>COUNTIFS(TRATAMENTO!B:B,"Loja Valparaiso",TRATAMENTO!A:A,"&gt;="&amp;B13,TRATAMENTO!A:A,"&lt;"&amp;EDATE(B13,1),TRATAMENTO!K:K,"OK")</f>
        <v>0</v>
      </c>
      <c r="E13" s="3">
        <f>COUNTIFS(TRATAMENTO!B:B,"Loja Valparaiso",TRATAMENTO!A:A,"&gt;="&amp;B13,TRATAMENTO!A:A,"&lt;"&amp;EDATE(B13,1),TRATAMENTO!K:K,"NOK")</f>
        <v>0</v>
      </c>
      <c r="F13" s="34">
        <f t="shared" ref="F13:F21" si="0">IFERROR(D13/C13,0)</f>
        <v>0</v>
      </c>
      <c r="G13" s="77"/>
      <c r="H13" s="33" t="str">
        <f>AUXILIAR!I3</f>
        <v>Sem assinatura</v>
      </c>
      <c r="I13" s="3">
        <f>COUNTIFS(TRATAMENTO!B:B,"Loja Valparaiso",TRATAMENTO!R:R,H13)</f>
        <v>0</v>
      </c>
      <c r="J13" s="34">
        <f t="shared" ref="J13:J22" si="1">IFERROR(I13/SUM($I$13:$I$21),0)</f>
        <v>0</v>
      </c>
      <c r="K13" s="77"/>
      <c r="L13" s="79" t="s">
        <v>42</v>
      </c>
      <c r="M13" s="80">
        <f>COUNTIFS(TRATAMENTO!B:B,"Loja Valparaiso",TRATAMENTO!K:K,"OK")</f>
        <v>31</v>
      </c>
      <c r="N13" s="81">
        <f>IFERROR(M13/(M13+M14),0)</f>
        <v>0.75609756097560976</v>
      </c>
      <c r="O13" s="77"/>
      <c r="P13" s="78"/>
      <c r="Q13" s="76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2:27" ht="20.100000000000001" customHeight="1" thickBot="1" x14ac:dyDescent="0.3">
      <c r="B14" s="62">
        <v>46143</v>
      </c>
      <c r="C14" s="3">
        <f>COUNTIFS(TRATAMENTO!B:B,"Loja Valparaiso",TRATAMENTO!A:A,"&gt;="&amp;B14,TRATAMENTO!A:A,"&lt;"&amp;EDATE(B14,1))</f>
        <v>41</v>
      </c>
      <c r="D14" s="3">
        <f>COUNTIFS(TRATAMENTO!B:B,"Loja Valparaiso",TRATAMENTO!A:A,"&gt;="&amp;B14,TRATAMENTO!A:A,"&lt;"&amp;EDATE(B14,1),TRATAMENTO!K:K,"OK")</f>
        <v>31</v>
      </c>
      <c r="E14" s="3">
        <f>COUNTIFS(TRATAMENTO!B:B,"Loja Valparaiso",TRATAMENTO!A:A,"&gt;="&amp;B14,TRATAMENTO!A:A,"&lt;"&amp;EDATE(B14,1),TRATAMENTO!K:K,"NOK")</f>
        <v>10</v>
      </c>
      <c r="F14" s="34">
        <f t="shared" si="0"/>
        <v>0.75609756097560976</v>
      </c>
      <c r="G14" s="77"/>
      <c r="H14" s="33" t="str">
        <f>AUXILIAR!I4</f>
        <v>Sem nenhuma foto</v>
      </c>
      <c r="I14" s="3">
        <f>COUNTIFS(TRATAMENTO!B:B,"Loja Valparaiso",TRATAMENTO!L:L,H14)</f>
        <v>0</v>
      </c>
      <c r="J14" s="34">
        <f t="shared" si="1"/>
        <v>0</v>
      </c>
      <c r="K14" s="77"/>
      <c r="L14" s="82" t="s">
        <v>43</v>
      </c>
      <c r="M14" s="83">
        <f>COUNTIFS(TRATAMENTO!B:B,"Loja Valparaiso",TRATAMENTO!K:K,"NOK")</f>
        <v>10</v>
      </c>
      <c r="N14" s="84">
        <f>IFERROR(M14/(M13+M14),0)</f>
        <v>0.24390243902439024</v>
      </c>
      <c r="O14" s="77"/>
      <c r="P14" s="78"/>
      <c r="Q14" s="76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2:27" ht="20.100000000000001" customHeight="1" thickBot="1" x14ac:dyDescent="0.3">
      <c r="B15" s="62">
        <v>46174</v>
      </c>
      <c r="C15" s="3">
        <f>COUNTIFS(TRATAMENTO!B:B,"Loja Valparaiso",TRATAMENTO!A:A,"&gt;="&amp;B15,TRATAMENTO!A:A,"&lt;"&amp;EDATE(B15,1))</f>
        <v>0</v>
      </c>
      <c r="D15" s="3">
        <f>COUNTIFS(TRATAMENTO!B:B,"Loja Valparaiso",TRATAMENTO!A:A,"&gt;="&amp;B15,TRATAMENTO!A:A,"&lt;"&amp;EDATE(B15,1),TRATAMENTO!K:K,"OK")</f>
        <v>0</v>
      </c>
      <c r="E15" s="3">
        <f>COUNTIFS(TRATAMENTO!B:B,"Loja Valparaiso",TRATAMENTO!A:A,"&gt;="&amp;B15,TRATAMENTO!A:A,"&lt;"&amp;EDATE(B15,1),TRATAMENTO!K:K,"NOK")</f>
        <v>0</v>
      </c>
      <c r="F15" s="34">
        <f t="shared" si="0"/>
        <v>0</v>
      </c>
      <c r="G15" s="77"/>
      <c r="H15" s="33" t="str">
        <f>AUXILIAR!I5</f>
        <v>Sem foto fachada</v>
      </c>
      <c r="I15" s="3">
        <f>COUNTIFS(TRATAMENTO!B:B,"Loja Valparaiso",TRATAMENTO!L:L,H15)</f>
        <v>31</v>
      </c>
      <c r="J15" s="34">
        <f t="shared" si="1"/>
        <v>0.75609756097560976</v>
      </c>
      <c r="K15" s="77"/>
      <c r="L15" s="77"/>
      <c r="M15" s="77"/>
      <c r="N15" s="77"/>
      <c r="O15" s="77"/>
      <c r="P15" s="78"/>
      <c r="Q15" s="76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2:27" ht="20.100000000000001" customHeight="1" x14ac:dyDescent="0.25">
      <c r="B16" s="62">
        <v>46204</v>
      </c>
      <c r="C16" s="3">
        <f>COUNTIFS(TRATAMENTO!B:B,"Loja Valparaiso",TRATAMENTO!A:A,"&gt;="&amp;B16,TRATAMENTO!A:A,"&lt;"&amp;EDATE(B16,1))</f>
        <v>0</v>
      </c>
      <c r="D16" s="3">
        <f>COUNTIFS(TRATAMENTO!B:B,"Loja Valparaiso",TRATAMENTO!A:A,"&gt;="&amp;B16,TRATAMENTO!A:A,"&lt;"&amp;EDATE(B16,1),TRATAMENTO!K:K,"OK")</f>
        <v>0</v>
      </c>
      <c r="E16" s="3">
        <f>COUNTIFS(TRATAMENTO!B:B,"Loja Valparaiso",TRATAMENTO!A:A,"&gt;="&amp;B16,TRATAMENTO!A:A,"&lt;"&amp;EDATE(B16,1),TRATAMENTO!K:K,"NOK")</f>
        <v>0</v>
      </c>
      <c r="F16" s="34">
        <f t="shared" si="0"/>
        <v>0</v>
      </c>
      <c r="G16" s="77"/>
      <c r="H16" s="33" t="str">
        <f>AUXILIAR!I6</f>
        <v>Sem foto produtos</v>
      </c>
      <c r="I16" s="3">
        <f>COUNTIFS(TRATAMENTO!B:B,"Loja Valparaiso",TRATAMENTO!L:L,H16)</f>
        <v>0</v>
      </c>
      <c r="J16" s="34">
        <f t="shared" si="1"/>
        <v>0</v>
      </c>
      <c r="K16" s="77"/>
      <c r="L16" s="98" t="s">
        <v>45</v>
      </c>
      <c r="M16" s="100"/>
      <c r="N16" s="77"/>
      <c r="O16" s="77"/>
      <c r="P16" s="78"/>
      <c r="Q16" s="76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2:27" ht="20.100000000000001" customHeight="1" x14ac:dyDescent="0.25">
      <c r="B17" s="62">
        <v>46235</v>
      </c>
      <c r="C17" s="3">
        <f>COUNTIFS(TRATAMENTO!B:B,"Loja Valparaiso",TRATAMENTO!A:A,"&gt;="&amp;B17,TRATAMENTO!A:A,"&lt;"&amp;EDATE(B17,1))</f>
        <v>0</v>
      </c>
      <c r="D17" s="3">
        <f>COUNTIFS(TRATAMENTO!B:B,"Loja Valparaiso",TRATAMENTO!A:A,"&gt;="&amp;B17,TRATAMENTO!A:A,"&lt;"&amp;EDATE(B17,1),TRATAMENTO!K:K,"OK")</f>
        <v>0</v>
      </c>
      <c r="E17" s="3">
        <f>COUNTIFS(TRATAMENTO!B:B,"Loja Valparaiso",TRATAMENTO!A:A,"&gt;="&amp;B17,TRATAMENTO!A:A,"&lt;"&amp;EDATE(B17,1),TRATAMENTO!K:K,"NOK")</f>
        <v>0</v>
      </c>
      <c r="F17" s="34">
        <f t="shared" si="0"/>
        <v>0</v>
      </c>
      <c r="G17" s="77"/>
      <c r="H17" s="33" t="str">
        <f>AUXILIAR!I7</f>
        <v>Sem fotos e assinatura</v>
      </c>
      <c r="I17" s="3">
        <f>COUNTIFS(TRATAMENTO!B:B,"Loja Valparaiso",TRATAMENTO!R:R,H17)</f>
        <v>0</v>
      </c>
      <c r="J17" s="34">
        <f t="shared" si="1"/>
        <v>0</v>
      </c>
      <c r="K17" s="77"/>
      <c r="L17" s="26" t="s">
        <v>49</v>
      </c>
      <c r="M17" s="27" t="s">
        <v>47</v>
      </c>
      <c r="N17" s="77"/>
      <c r="O17" s="77"/>
      <c r="P17" s="78"/>
      <c r="Q17" s="76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2:27" ht="20.100000000000001" customHeight="1" x14ac:dyDescent="0.25">
      <c r="B18" s="62">
        <v>46266</v>
      </c>
      <c r="C18" s="3">
        <f>COUNTIFS(TRATAMENTO!B:B,"Loja Valparaiso",TRATAMENTO!A:A,"&gt;="&amp;B18,TRATAMENTO!A:A,"&lt;"&amp;EDATE(B18,1))</f>
        <v>0</v>
      </c>
      <c r="D18" s="3">
        <f>COUNTIFS(TRATAMENTO!B:B,"Loja Valparaiso",TRATAMENTO!A:A,"&gt;="&amp;B18,TRATAMENTO!A:A,"&lt;"&amp;EDATE(B18,1),TRATAMENTO!K:K,"OK")</f>
        <v>0</v>
      </c>
      <c r="E18" s="3">
        <f>COUNTIFS(TRATAMENTO!B:B,"Loja Valparaiso",TRATAMENTO!A:A,"&gt;="&amp;B18,TRATAMENTO!A:A,"&lt;"&amp;EDATE(B18,1),TRATAMENTO!K:K,"NOK")</f>
        <v>0</v>
      </c>
      <c r="F18" s="34">
        <f t="shared" si="0"/>
        <v>0</v>
      </c>
      <c r="G18" s="77"/>
      <c r="H18" s="33" t="str">
        <f>AUXILIAR!I8</f>
        <v>Não conferido</v>
      </c>
      <c r="I18" s="3">
        <f>COUNTIFS(TRATAMENTO!B:B,"Loja Valparaiso",TRATAMENTO!R:R,H18)</f>
        <v>0</v>
      </c>
      <c r="J18" s="34">
        <f t="shared" si="1"/>
        <v>0</v>
      </c>
      <c r="K18" s="77"/>
      <c r="L18" s="85" t="str">
        <f>AUXILIAR!G2</f>
        <v>Entrega Total</v>
      </c>
      <c r="M18" s="29">
        <f>COUNTIFS(CONTROLE_DIARIO!B:B,"Loja Valparaiso",CONTROLE_DIARIO!E:E,L18)</f>
        <v>39</v>
      </c>
      <c r="N18" s="77"/>
      <c r="O18" s="77"/>
      <c r="P18" s="78"/>
      <c r="Q18" s="76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2:27" ht="20.100000000000001" customHeight="1" x14ac:dyDescent="0.25">
      <c r="B19" s="62">
        <v>46296</v>
      </c>
      <c r="C19" s="3">
        <f>COUNTIFS(TRATAMENTO!B:B,"Loja Valparaiso",TRATAMENTO!A:A,"&gt;="&amp;B19,TRATAMENTO!A:A,"&lt;"&amp;EDATE(B19,1))</f>
        <v>0</v>
      </c>
      <c r="D19" s="3">
        <f>COUNTIFS(TRATAMENTO!B:B,"Loja Valparaiso",TRATAMENTO!A:A,"&gt;="&amp;B19,TRATAMENTO!A:A,"&lt;"&amp;EDATE(B19,1),TRATAMENTO!K:K,"OK")</f>
        <v>0</v>
      </c>
      <c r="E19" s="3">
        <f>COUNTIFS(TRATAMENTO!B:B,"Loja Valparaiso",TRATAMENTO!A:A,"&gt;="&amp;B19,TRATAMENTO!A:A,"&lt;"&amp;EDATE(B19,1),TRATAMENTO!K:K,"NOK")</f>
        <v>0</v>
      </c>
      <c r="F19" s="34">
        <f t="shared" si="0"/>
        <v>0</v>
      </c>
      <c r="G19" s="77"/>
      <c r="H19" s="33" t="str">
        <f>AUXILIAR!I9</f>
        <v>Não baixado</v>
      </c>
      <c r="I19" s="3">
        <f>COUNTIFS(TRATAMENTO!B:B,"Loja Valparaiso",TRATAMENTO!R:R,H19)</f>
        <v>0</v>
      </c>
      <c r="J19" s="34">
        <f t="shared" si="1"/>
        <v>0</v>
      </c>
      <c r="K19" s="77"/>
      <c r="L19" s="85" t="str">
        <f>AUXILIAR!G3</f>
        <v>Retorno Total</v>
      </c>
      <c r="M19" s="29">
        <f>COUNTIFS(CONTROLE_DIARIO!B:B,"Loja Valparaiso",CONTROLE_DIARIO!E:E,L19)</f>
        <v>0</v>
      </c>
      <c r="N19" s="77"/>
      <c r="O19" s="77"/>
      <c r="P19" s="78"/>
      <c r="Q19" s="76"/>
      <c r="R19" s="77"/>
      <c r="S19" s="77"/>
      <c r="T19" s="77"/>
      <c r="U19" s="77"/>
      <c r="V19" s="77"/>
      <c r="W19" s="77"/>
      <c r="X19" s="77"/>
      <c r="Y19" s="77"/>
      <c r="Z19" s="77"/>
      <c r="AA19" s="78"/>
    </row>
    <row r="20" spans="2:27" ht="20.100000000000001" customHeight="1" x14ac:dyDescent="0.25">
      <c r="B20" s="62">
        <v>46327</v>
      </c>
      <c r="C20" s="3">
        <f>COUNTIFS(TRATAMENTO!B:B,"Loja Valparaiso",TRATAMENTO!A:A,"&gt;="&amp;B20,TRATAMENTO!A:A,"&lt;"&amp;EDATE(B20,1))</f>
        <v>0</v>
      </c>
      <c r="D20" s="3">
        <f>COUNTIFS(TRATAMENTO!B:B,"Loja Valparaiso",TRATAMENTO!A:A,"&gt;="&amp;B20,TRATAMENTO!A:A,"&lt;"&amp;EDATE(B20,1),TRATAMENTO!K:K,"OK")</f>
        <v>0</v>
      </c>
      <c r="E20" s="3">
        <f>COUNTIFS(TRATAMENTO!B:B,"Loja Valparaiso",TRATAMENTO!A:A,"&gt;="&amp;B20,TRATAMENTO!A:A,"&lt;"&amp;EDATE(B20,1),TRATAMENTO!K:K,"NOK")</f>
        <v>0</v>
      </c>
      <c r="F20" s="34">
        <f t="shared" si="0"/>
        <v>0</v>
      </c>
      <c r="G20" s="77"/>
      <c r="H20" s="33" t="s">
        <v>137</v>
      </c>
      <c r="I20" s="3">
        <f>COUNTIFS(TRATAMENTO!B:B,"Loja Valparaiso",TRATAMENTO!R:R,H20)</f>
        <v>8</v>
      </c>
      <c r="J20" s="34">
        <f t="shared" si="1"/>
        <v>0.1951219512195122</v>
      </c>
      <c r="K20" s="77"/>
      <c r="L20" s="85" t="str">
        <f>AUXILIAR!G4</f>
        <v>Entrega Parcial</v>
      </c>
      <c r="M20" s="29">
        <f>COUNTIFS(CONTROLE_DIARIO!B:B,"Loja Valparaiso",CONTROLE_DIARIO!E:E,L20)</f>
        <v>0</v>
      </c>
      <c r="N20" s="77"/>
      <c r="O20" s="77"/>
      <c r="P20" s="78"/>
      <c r="Q20" s="76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2:27" ht="15.75" thickBot="1" x14ac:dyDescent="0.3">
      <c r="B21" s="63">
        <v>46357</v>
      </c>
      <c r="C21" s="36">
        <f>COUNTIFS(TRATAMENTO!B:B,"Loja Valparaiso",TRATAMENTO!A:A,"&gt;="&amp;B21,TRATAMENTO!A:A,"&lt;"&amp;EDATE(B21,1))</f>
        <v>0</v>
      </c>
      <c r="D21" s="36">
        <f>COUNTIFS(TRATAMENTO!B:B,"Loja Valparaiso",TRATAMENTO!A:A,"&gt;="&amp;B21,TRATAMENTO!A:A,"&lt;"&amp;EDATE(B21,1),TRATAMENTO!K:K,"OK")</f>
        <v>0</v>
      </c>
      <c r="E21" s="36">
        <f>COUNTIFS(TRATAMENTO!B:B,"Loja Valparaiso",TRATAMENTO!A:A,"&gt;="&amp;B21,TRATAMENTO!A:A,"&lt;"&amp;EDATE(B21,1),TRATAMENTO!K:K,"NOK")</f>
        <v>0</v>
      </c>
      <c r="F21" s="37">
        <f t="shared" si="0"/>
        <v>0</v>
      </c>
      <c r="G21" s="77"/>
      <c r="H21" s="59" t="str">
        <f>AUXILIAR!I10</f>
        <v>Manifesto cancelado</v>
      </c>
      <c r="I21" s="60">
        <f>COUNTIFS(TRATAMENTO!B:B,"Loja Valparaiso",TRATAMENTO!R:R,H21)</f>
        <v>2</v>
      </c>
      <c r="J21" s="34">
        <f t="shared" si="1"/>
        <v>4.878048780487805E-2</v>
      </c>
      <c r="K21" s="77"/>
      <c r="L21" s="85" t="str">
        <f>AUXILIAR!G5</f>
        <v>Aberto</v>
      </c>
      <c r="M21" s="29">
        <f>COUNTIFS(CONTROLE_DIARIO!B:B,"Loja Valparaiso",CONTROLE_DIARIO!E:E,L21)</f>
        <v>0</v>
      </c>
      <c r="N21" s="77"/>
      <c r="O21" s="77"/>
      <c r="P21" s="78"/>
      <c r="Q21" s="76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2:27" ht="19.5" customHeight="1" thickBot="1" x14ac:dyDescent="0.3">
      <c r="B22" s="76"/>
      <c r="C22" s="77"/>
      <c r="D22" s="77"/>
      <c r="E22" s="77"/>
      <c r="F22" s="77"/>
      <c r="G22" s="77"/>
      <c r="H22" s="35" t="str">
        <f>AUXILIAR!I11</f>
        <v>Outro</v>
      </c>
      <c r="I22" s="36">
        <f>COUNTIFS(TRATAMENTO!B:B,"Loja Valparaiso",TRATAMENTO!R:R,H22)</f>
        <v>0</v>
      </c>
      <c r="J22" s="37">
        <f t="shared" si="1"/>
        <v>0</v>
      </c>
      <c r="K22" s="77"/>
      <c r="L22" s="86" t="str">
        <f>AUXILIAR!G6</f>
        <v>Devolução Avaria</v>
      </c>
      <c r="M22" s="29">
        <f>COUNTIFS(CONTROLE_DIARIO!B:B,"Loja Valparaiso",CONTROLE_DIARIO!E:E,L22)</f>
        <v>0</v>
      </c>
      <c r="N22" s="77"/>
      <c r="O22" s="77"/>
      <c r="P22" s="78"/>
      <c r="Q22" s="76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2:27" ht="20.100000000000001" customHeight="1" thickBot="1" x14ac:dyDescent="0.3">
      <c r="B23" s="112" t="s">
        <v>40</v>
      </c>
      <c r="C23" s="124"/>
      <c r="D23" s="124"/>
      <c r="E23" s="124"/>
      <c r="F23" s="125"/>
      <c r="G23" s="77"/>
      <c r="H23" s="77"/>
      <c r="I23" s="77"/>
      <c r="J23" s="77"/>
      <c r="K23" s="77"/>
      <c r="L23" s="87" t="str">
        <f>AUXILIAR!G7</f>
        <v>Cancelado</v>
      </c>
      <c r="M23" s="40">
        <f>COUNTIFS(CONTROLE_DIARIO!B:B,"Loja Valparaiso",CONTROLE_DIARIO!E:E,L23)</f>
        <v>2</v>
      </c>
      <c r="N23" s="77"/>
      <c r="O23" s="77"/>
      <c r="P23" s="78"/>
      <c r="Q23" s="76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2:27" ht="20.100000000000001" customHeight="1" x14ac:dyDescent="0.25">
      <c r="B24" s="26" t="s">
        <v>4</v>
      </c>
      <c r="C24" s="5" t="s">
        <v>41</v>
      </c>
      <c r="D24" s="5" t="s">
        <v>42</v>
      </c>
      <c r="E24" s="5" t="s">
        <v>43</v>
      </c>
      <c r="F24" s="27" t="s">
        <v>34</v>
      </c>
      <c r="G24" s="77"/>
      <c r="H24" s="77"/>
      <c r="I24" s="77"/>
      <c r="J24" s="77"/>
      <c r="K24" s="77"/>
      <c r="L24" s="77"/>
      <c r="M24" s="77"/>
      <c r="N24" s="77"/>
      <c r="O24" s="77"/>
      <c r="P24" s="78"/>
      <c r="Q24" s="76"/>
      <c r="R24" s="88" t="s">
        <v>130</v>
      </c>
      <c r="S24" s="77"/>
      <c r="T24" s="77"/>
      <c r="U24" s="77"/>
      <c r="V24" s="77"/>
      <c r="W24" s="77"/>
      <c r="X24" s="77"/>
      <c r="Y24" s="77"/>
      <c r="Z24" s="77"/>
      <c r="AA24" s="78"/>
    </row>
    <row r="25" spans="2:27" ht="20.100000000000001" customHeight="1" thickBot="1" x14ac:dyDescent="0.3">
      <c r="B25" s="41" t="str">
        <f>AUXILIAR!E5</f>
        <v>Wederson C.</v>
      </c>
      <c r="C25" s="36">
        <f>COUNTIFS(TRATAMENTO!B:B,"Loja Valparaiso",TRATAMENTO!D:D,B25)</f>
        <v>40</v>
      </c>
      <c r="D25" s="36">
        <f>COUNTIFS(TRATAMENTO!B:B,"Loja Valparaiso",TRATAMENTO!D:D,B25,TRATAMENTO!K:K,"OK")</f>
        <v>31</v>
      </c>
      <c r="E25" s="36">
        <f>COUNTIFS(TRATAMENTO!B:B,"Loja Valparaiso",TRATAMENTO!D:D,B25,TRATAMENTO!K:K,"NOK")</f>
        <v>9</v>
      </c>
      <c r="F25" s="37">
        <f t="shared" ref="F25" si="2">IFERROR(D25/C25,0)</f>
        <v>0.77500000000000002</v>
      </c>
      <c r="G25" s="77"/>
      <c r="H25" s="77"/>
      <c r="I25" s="77"/>
      <c r="J25" s="77"/>
      <c r="K25" s="77"/>
      <c r="L25" s="77"/>
      <c r="M25" s="77"/>
      <c r="N25" s="77"/>
      <c r="O25" s="77"/>
      <c r="P25" s="78"/>
      <c r="Q25" s="76"/>
      <c r="R25" s="88" t="s">
        <v>131</v>
      </c>
      <c r="S25" s="77"/>
      <c r="T25" s="77"/>
      <c r="U25" s="77"/>
      <c r="V25" s="77"/>
      <c r="W25" s="77"/>
      <c r="X25" s="77"/>
      <c r="Y25" s="77"/>
      <c r="Z25" s="77"/>
      <c r="AA25" s="78"/>
    </row>
    <row r="26" spans="2:27" ht="19.5" customHeight="1" thickBot="1" x14ac:dyDescent="0.3">
      <c r="B26" s="89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  <c r="Q26" s="89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2:27" ht="20.100000000000001" customHeight="1" x14ac:dyDescent="0.25"/>
    <row r="28" spans="2:27" ht="20.100000000000001" customHeight="1" x14ac:dyDescent="0.25"/>
    <row r="29" spans="2:27" ht="20.100000000000001" customHeight="1" x14ac:dyDescent="0.25"/>
    <row r="30" spans="2:27" ht="20.100000000000001" customHeight="1" x14ac:dyDescent="0.25"/>
    <row r="31" spans="2:27" ht="20.100000000000001" customHeight="1" x14ac:dyDescent="0.25"/>
    <row r="32" spans="2:27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</sheetData>
  <mergeCells count="23">
    <mergeCell ref="B2:P3"/>
    <mergeCell ref="Q2:AA3"/>
    <mergeCell ref="B4:O4"/>
    <mergeCell ref="B5:C5"/>
    <mergeCell ref="D5:E5"/>
    <mergeCell ref="F5:G5"/>
    <mergeCell ref="H5:I5"/>
    <mergeCell ref="J5:K5"/>
    <mergeCell ref="L5:M5"/>
    <mergeCell ref="N5:O5"/>
    <mergeCell ref="B23:F23"/>
    <mergeCell ref="N6:O7"/>
    <mergeCell ref="B9:O9"/>
    <mergeCell ref="B11:F11"/>
    <mergeCell ref="H11:J11"/>
    <mergeCell ref="L11:N11"/>
    <mergeCell ref="L16:M16"/>
    <mergeCell ref="B6:C7"/>
    <mergeCell ref="D6:E7"/>
    <mergeCell ref="F6:G7"/>
    <mergeCell ref="H6:I7"/>
    <mergeCell ref="J6:K7"/>
    <mergeCell ref="L6:M7"/>
  </mergeCells>
  <conditionalFormatting sqref="F25">
    <cfRule type="cellIs" dxfId="286" priority="1" operator="lessThan">
      <formula>0.85</formula>
    </cfRule>
    <cfRule type="cellIs" dxfId="285" priority="2" operator="between">
      <formula>0.85</formula>
      <formula>0.949</formula>
    </cfRule>
    <cfRule type="cellIs" dxfId="284" priority="3" operator="greaterThanOrEqual">
      <formula>0.95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N30"/>
  <sheetViews>
    <sheetView showGridLines="0" tabSelected="1" workbookViewId="0">
      <selection activeCell="B4" sqref="B4:N5"/>
    </sheetView>
  </sheetViews>
  <sheetFormatPr defaultRowHeight="15" x14ac:dyDescent="0.25"/>
  <cols>
    <col min="1" max="1" width="9.140625" style="22"/>
    <col min="2" max="2" width="18" customWidth="1"/>
    <col min="3" max="11" width="16" customWidth="1"/>
    <col min="12" max="12" width="16" style="22" customWidth="1"/>
    <col min="13" max="13" width="16" style="50" customWidth="1"/>
    <col min="14" max="14" width="23.85546875" bestFit="1" customWidth="1"/>
  </cols>
  <sheetData>
    <row r="1" spans="2:14" s="22" customFormat="1" ht="15.75" thickBot="1" x14ac:dyDescent="0.3">
      <c r="M1" s="50"/>
    </row>
    <row r="2" spans="2:14" x14ac:dyDescent="0.25">
      <c r="B2" s="145" t="s">
        <v>60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4"/>
    </row>
    <row r="3" spans="2:14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8"/>
    </row>
    <row r="4" spans="2:14" x14ac:dyDescent="0.25">
      <c r="B4" s="101" t="s">
        <v>61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49"/>
    </row>
    <row r="5" spans="2:14" x14ac:dyDescent="0.25"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2"/>
    </row>
    <row r="6" spans="2:14" ht="30" x14ac:dyDescent="0.25">
      <c r="B6" s="26" t="s">
        <v>62</v>
      </c>
      <c r="C6" s="5" t="s">
        <v>41</v>
      </c>
      <c r="D6" s="5" t="s">
        <v>42</v>
      </c>
      <c r="E6" s="5" t="s">
        <v>43</v>
      </c>
      <c r="F6" s="5" t="s">
        <v>34</v>
      </c>
      <c r="G6" s="5" t="s">
        <v>53</v>
      </c>
      <c r="H6" s="5" t="s">
        <v>54</v>
      </c>
      <c r="I6" s="5" t="s">
        <v>51</v>
      </c>
      <c r="J6" s="5" t="s">
        <v>50</v>
      </c>
      <c r="K6" s="5" t="s">
        <v>52</v>
      </c>
      <c r="L6" s="45" t="s">
        <v>134</v>
      </c>
      <c r="M6" s="45" t="s">
        <v>137</v>
      </c>
      <c r="N6" s="27" t="s">
        <v>63</v>
      </c>
    </row>
    <row r="7" spans="2:14" x14ac:dyDescent="0.25">
      <c r="B7" s="28" t="str">
        <f>AUXILIAR!K2</f>
        <v>Cinthya</v>
      </c>
      <c r="C7" s="3">
        <f>COUNTIF(TRATAMENTO!O:O,B7)</f>
        <v>44</v>
      </c>
      <c r="D7" s="3">
        <f>COUNTIFS(TRATAMENTO!O:O,B7,TRATAMENTO!K:K,"OK")</f>
        <v>31</v>
      </c>
      <c r="E7" s="3">
        <f>COUNTIFS(TRATAMENTO!O:O,B7,TRATAMENTO!K:K,"NOK")</f>
        <v>13</v>
      </c>
      <c r="F7" s="6">
        <f>IFERROR(D7/C7,0)</f>
        <v>0.70454545454545459</v>
      </c>
      <c r="G7" s="3">
        <f>COUNTIFS(TRATAMENTO!O:O,B7,TRATAMENTO!R:R,"Não conferido")</f>
        <v>0</v>
      </c>
      <c r="H7" s="3">
        <f>COUNTIFS(TRATAMENTO!O:O,B7,TRATAMENTO!R:R,"Não baixado")</f>
        <v>0</v>
      </c>
      <c r="I7" s="3">
        <f>COUNTIFS(TRATAMENTO!O:O,B7,TRATAMENTO!R:R,"Sem foto")</f>
        <v>1</v>
      </c>
      <c r="J7" s="3">
        <f>COUNTIFS(TRATAMENTO!O:O,B7,TRATAMENTO!R:R,"Sem assinatura")</f>
        <v>0</v>
      </c>
      <c r="K7" s="3">
        <f>COUNTIFS(TRATAMENTO!O:O,B7,TRATAMENTO!R:R,"Sem foto e assinatura")</f>
        <v>0</v>
      </c>
      <c r="L7" s="11">
        <f>COUNTIFS(TRATAMENTO!O:O,B7,TRATAMENTO!R:R,"Manifesto cancelado")</f>
        <v>1</v>
      </c>
      <c r="M7" s="11">
        <f>COUNTIFS(TRATAMENTO!O:O,B7,TRATAMENTO!R:R,"FORA APP")</f>
        <v>3</v>
      </c>
      <c r="N7" s="29" t="str">
        <f>IF(F7&lt;0.85,"Plano de ação imediato",IF(F7&lt;0.95,"Acompanhar diariamente","Manter padrão"))</f>
        <v>Plano de ação imediato</v>
      </c>
    </row>
    <row r="8" spans="2:14" s="22" customFormat="1" x14ac:dyDescent="0.25">
      <c r="B8" s="28" t="str">
        <f>AUXILIAR!K3</f>
        <v>Danilo</v>
      </c>
      <c r="C8" s="3">
        <f>COUNTIF(TRATAMENTO!O:O,B8)</f>
        <v>38</v>
      </c>
      <c r="D8" s="3">
        <f>COUNTIFS(TRATAMENTO!O:O,B8,TRATAMENTO!K:K,"OK")</f>
        <v>25</v>
      </c>
      <c r="E8" s="3">
        <f>COUNTIFS(TRATAMENTO!O:O,B8,TRATAMENTO!K:K,"NOK")</f>
        <v>13</v>
      </c>
      <c r="F8" s="6">
        <f t="shared" ref="F8:F9" si="0">IFERROR(D8/C8,0)</f>
        <v>0.65789473684210531</v>
      </c>
      <c r="G8" s="3">
        <f>COUNTIFS(TRATAMENTO!O:O,B8,TRATAMENTO!R:R,"Não conferido")</f>
        <v>0</v>
      </c>
      <c r="H8" s="3">
        <f>COUNTIFS(TRATAMENTO!O:O,B8,TRATAMENTO!R:R,"Não baixado")</f>
        <v>0</v>
      </c>
      <c r="I8" s="3">
        <f>COUNTIFS(TRATAMENTO!O:O,B8,TRATAMENTO!R:R,"Sem foto")</f>
        <v>0</v>
      </c>
      <c r="J8" s="3">
        <f>COUNTIFS(TRATAMENTO!O:O,B8,TRATAMENTO!R:R,"Sem assinatura")</f>
        <v>2</v>
      </c>
      <c r="K8" s="3">
        <f>COUNTIFS(TRATAMENTO!O:O,B8,TRATAMENTO!R:R,"Sem foto e assinatura")</f>
        <v>0</v>
      </c>
      <c r="L8" s="11">
        <f>COUNTIFS(TRATAMENTO!O:O,B8,TRATAMENTO!R:R,"Manifesto cancelado")</f>
        <v>1</v>
      </c>
      <c r="M8" s="11">
        <f>COUNTIFS(TRATAMENTO!O:O,B8,TRATAMENTO!R:R,"FORA APP")</f>
        <v>2</v>
      </c>
      <c r="N8" s="29" t="str">
        <f t="shared" ref="N8:N9" si="1">IF(F8&lt;0.85,"Plano de ação imediato",IF(F8&lt;0.95,"Acompanhar diariamente","Manter padrão"))</f>
        <v>Plano de ação imediato</v>
      </c>
    </row>
    <row r="9" spans="2:14" s="22" customFormat="1" x14ac:dyDescent="0.25">
      <c r="B9" s="28" t="str">
        <f>AUXILIAR!K4</f>
        <v>Neudo</v>
      </c>
      <c r="C9" s="3">
        <f>COUNTIF(TRATAMENTO!O:O,B9)</f>
        <v>33</v>
      </c>
      <c r="D9" s="3">
        <f>COUNTIFS(TRATAMENTO!O:O,B9,TRATAMENTO!K:K,"OK")</f>
        <v>0</v>
      </c>
      <c r="E9" s="3">
        <f>COUNTIFS(TRATAMENTO!O:O,B9,TRATAMENTO!K:K,"NOK")</f>
        <v>33</v>
      </c>
      <c r="F9" s="6">
        <f t="shared" si="0"/>
        <v>0</v>
      </c>
      <c r="G9" s="3">
        <f>COUNTIFS(TRATAMENTO!O:O,B9,TRATAMENTO!R:R,"Não conferido")</f>
        <v>0</v>
      </c>
      <c r="H9" s="3">
        <f>COUNTIFS(TRATAMENTO!O:O,B9,TRATAMENTO!R:R,"Não baixado")</f>
        <v>0</v>
      </c>
      <c r="I9" s="3">
        <f>COUNTIFS(TRATAMENTO!O:O,B9,TRATAMENTO!R:R,"Sem foto")</f>
        <v>0</v>
      </c>
      <c r="J9" s="3">
        <f>COUNTIFS(TRATAMENTO!O:O,B9,TRATAMENTO!R:R,"Sem assinatura")</f>
        <v>0</v>
      </c>
      <c r="K9" s="3">
        <f>COUNTIFS(TRATAMENTO!O:O,B9,TRATAMENTO!R:R,"Sem foto e assinatura")</f>
        <v>0</v>
      </c>
      <c r="L9" s="11">
        <f>COUNTIFS(TRATAMENTO!O:O,B9,TRATAMENTO!R:R,"Manifesto cancelado")</f>
        <v>9</v>
      </c>
      <c r="M9" s="11">
        <f>COUNTIFS(TRATAMENTO!O:O,B9,TRATAMENTO!R:R,"FORA APP")</f>
        <v>24</v>
      </c>
      <c r="N9" s="29" t="str">
        <f t="shared" si="1"/>
        <v>Plano de ação imediato</v>
      </c>
    </row>
    <row r="10" spans="2:14" x14ac:dyDescent="0.25">
      <c r="B10" s="28" t="str">
        <f>AUXILIAR!K5</f>
        <v>Natália</v>
      </c>
      <c r="C10" s="3">
        <f>COUNTIF(TRATAMENTO!O:O,B10)</f>
        <v>3</v>
      </c>
      <c r="D10" s="3">
        <f>COUNTIFS(TRATAMENTO!O:O,B10,TRATAMENTO!K:K,"OK")</f>
        <v>0</v>
      </c>
      <c r="E10" s="3">
        <f>COUNTIFS(TRATAMENTO!O:O,B10,TRATAMENTO!K:K,"NOK")</f>
        <v>3</v>
      </c>
      <c r="F10" s="6">
        <f>IFERROR(D10/C10,0)</f>
        <v>0</v>
      </c>
      <c r="G10" s="3">
        <f>COUNTIFS(TRATAMENTO!O:O,B10,TRATAMENTO!R:R,"Não conferido")</f>
        <v>0</v>
      </c>
      <c r="H10" s="3">
        <f>COUNTIFS(TRATAMENTO!O:O,B10,TRATAMENTO!R:R,"Não baixado")</f>
        <v>0</v>
      </c>
      <c r="I10" s="3">
        <f>COUNTIFS(TRATAMENTO!O:O,B10,TRATAMENTO!R:R,"Sem foto")</f>
        <v>0</v>
      </c>
      <c r="J10" s="3">
        <f>COUNTIFS(TRATAMENTO!O:O,B10,TRATAMENTO!R:R,"Sem assinatura")</f>
        <v>0</v>
      </c>
      <c r="K10" s="3">
        <f>COUNTIFS(TRATAMENTO!O:O,B10,TRATAMENTO!R:R,"Sem foto e assinatura")</f>
        <v>0</v>
      </c>
      <c r="L10" s="11">
        <f>COUNTIFS(TRATAMENTO!O:O,B10,TRATAMENTO!R:R,"Manifesto cancelado")</f>
        <v>0</v>
      </c>
      <c r="M10" s="11">
        <f>COUNTIFS(TRATAMENTO!O:O,B10,TRATAMENTO!R:R,"FORA APP")</f>
        <v>3</v>
      </c>
      <c r="N10" s="29" t="str">
        <f>IF(F10&lt;0.85,"Plano de ação imediato",IF(F10&lt;0.95,"Acompanhar diariamente","Manter padrão"))</f>
        <v>Plano de ação imediato</v>
      </c>
    </row>
    <row r="11" spans="2:14" x14ac:dyDescent="0.25">
      <c r="B11" s="28" t="str">
        <f>AUXILIAR!K6</f>
        <v>Luciano</v>
      </c>
      <c r="C11" s="3">
        <f>COUNTIF(TRATAMENTO!O:O,B11)</f>
        <v>0</v>
      </c>
      <c r="D11" s="3">
        <f>COUNTIFS(TRATAMENTO!O:O,B11,TRATAMENTO!K:K,"OK")</f>
        <v>0</v>
      </c>
      <c r="E11" s="3">
        <f>COUNTIFS(TRATAMENTO!O:O,B11,TRATAMENTO!K:K,"NOK")</f>
        <v>0</v>
      </c>
      <c r="F11" s="6">
        <f>IFERROR(D11/C11,0)</f>
        <v>0</v>
      </c>
      <c r="G11" s="3">
        <f>COUNTIFS(TRATAMENTO!O:O,B11,TRATAMENTO!R:R,"Não conferido")</f>
        <v>0</v>
      </c>
      <c r="H11" s="3">
        <f>COUNTIFS(TRATAMENTO!O:O,B11,TRATAMENTO!R:R,"Não baixado")</f>
        <v>0</v>
      </c>
      <c r="I11" s="3">
        <f>COUNTIFS(TRATAMENTO!O:O,B11,TRATAMENTO!R:R,"Sem foto")</f>
        <v>0</v>
      </c>
      <c r="J11" s="3">
        <f>COUNTIFS(TRATAMENTO!O:O,B11,TRATAMENTO!R:R,"Sem assinatura")</f>
        <v>0</v>
      </c>
      <c r="K11" s="3">
        <f>COUNTIFS(TRATAMENTO!O:O,B11,TRATAMENTO!R:R,"Sem foto e assinatura")</f>
        <v>0</v>
      </c>
      <c r="L11" s="11">
        <f>COUNTIFS(TRATAMENTO!O:O,B11,TRATAMENTO!R:R,"Manifesto cancelado")</f>
        <v>0</v>
      </c>
      <c r="M11" s="11">
        <f>COUNTIFS(TRATAMENTO!O:O,B11,TRATAMENTO!R:R,"FORA APP")</f>
        <v>0</v>
      </c>
      <c r="N11" s="29" t="str">
        <f>IF(F11&lt;0.85,"Plano de ação imediato",IF(F11&lt;0.95,"Acompanhar diariamente","Manter padrão"))</f>
        <v>Plano de ação imediato</v>
      </c>
    </row>
    <row r="12" spans="2:14" x14ac:dyDescent="0.25">
      <c r="B12" s="28" t="str">
        <f>AUXILIAR!K7</f>
        <v>Cleonice</v>
      </c>
      <c r="C12" s="3">
        <f>COUNTIF(TRATAMENTO!O:O,B12)</f>
        <v>41</v>
      </c>
      <c r="D12" s="3">
        <f>COUNTIFS(TRATAMENTO!O:O,B12,TRATAMENTO!K:K,"OK")</f>
        <v>31</v>
      </c>
      <c r="E12" s="3">
        <f>COUNTIFS(TRATAMENTO!O:O,B12,TRATAMENTO!K:K,"NOK")</f>
        <v>10</v>
      </c>
      <c r="F12" s="6">
        <f>IFERROR(D12/C12,0)</f>
        <v>0.75609756097560976</v>
      </c>
      <c r="G12" s="3">
        <f>COUNTIFS(TRATAMENTO!O:O,B12,TRATAMENTO!R:R,"Não conferido")</f>
        <v>0</v>
      </c>
      <c r="H12" s="3">
        <f>COUNTIFS(TRATAMENTO!O:O,B12,TRATAMENTO!R:R,"Não baixado")</f>
        <v>0</v>
      </c>
      <c r="I12" s="3">
        <f>COUNTIFS(TRATAMENTO!O:O,B12,TRATAMENTO!R:R,"Sem foto")</f>
        <v>0</v>
      </c>
      <c r="J12" s="3">
        <f>COUNTIFS(TRATAMENTO!O:O,B12,TRATAMENTO!R:R,"Sem assinatura")</f>
        <v>0</v>
      </c>
      <c r="K12" s="3">
        <f>COUNTIFS(TRATAMENTO!O:O,B12,TRATAMENTO!R:R,"Sem foto e assinatura")</f>
        <v>0</v>
      </c>
      <c r="L12" s="11">
        <f>COUNTIFS(TRATAMENTO!O:O,B12,TRATAMENTO!R:R,"Manifesto cancelado")</f>
        <v>2</v>
      </c>
      <c r="M12" s="11">
        <f>COUNTIFS(TRATAMENTO!O:O,B12,TRATAMENTO!R:R,"FORA APP")</f>
        <v>8</v>
      </c>
      <c r="N12" s="29" t="str">
        <f>IF(F12&lt;0.85,"Plano de ação imediato",IF(F12&lt;0.95,"Acompanhar diariamente","Manter padrão"))</f>
        <v>Plano de ação imediato</v>
      </c>
    </row>
    <row r="13" spans="2:14" ht="15.75" thickBot="1" x14ac:dyDescent="0.3">
      <c r="B13" s="28" t="str">
        <f>AUXILIAR!K8</f>
        <v>Sérgio</v>
      </c>
      <c r="C13" s="3">
        <f>COUNTIF(TRATAMENTO!O:O,B13)</f>
        <v>0</v>
      </c>
      <c r="D13" s="3">
        <f>COUNTIFS(TRATAMENTO!O:O,B13,TRATAMENTO!K:K,"OK")</f>
        <v>0</v>
      </c>
      <c r="E13" s="3">
        <f>COUNTIFS(TRATAMENTO!O:O,B13,TRATAMENTO!K:K,"NOK")</f>
        <v>0</v>
      </c>
      <c r="F13" s="6">
        <f>IFERROR(D13/C13,0)</f>
        <v>0</v>
      </c>
      <c r="G13" s="3">
        <f>COUNTIFS(TRATAMENTO!O:O,B13,TRATAMENTO!R:R,"Não conferido")</f>
        <v>0</v>
      </c>
      <c r="H13" s="3">
        <f>COUNTIFS(TRATAMENTO!O:O,B13,TRATAMENTO!R:R,"Não baixado")</f>
        <v>0</v>
      </c>
      <c r="I13" s="3">
        <f>COUNTIFS(TRATAMENTO!O:O,B13,TRATAMENTO!R:R,"Sem foto")</f>
        <v>0</v>
      </c>
      <c r="J13" s="3">
        <f>COUNTIFS(TRATAMENTO!O:O,B13,TRATAMENTO!R:R,"Sem assinatura")</f>
        <v>0</v>
      </c>
      <c r="K13" s="3">
        <f>COUNTIFS(TRATAMENTO!O:O,B13,TRATAMENTO!R:R,"Sem foto e assinatura")</f>
        <v>0</v>
      </c>
      <c r="L13" s="11">
        <f>COUNTIFS(TRATAMENTO!O:O,B13,TRATAMENTO!R:R,"Manifesto cancelado")</f>
        <v>0</v>
      </c>
      <c r="M13" s="11">
        <f>COUNTIFS(TRATAMENTO!O:O,B13,TRATAMENTO!R:R,"FORA APP")</f>
        <v>0</v>
      </c>
      <c r="N13" s="29" t="str">
        <f>IF(F13&lt;0.85,"Plano de ação imediato",IF(F13&lt;0.95,"Acompanhar diariamente","Manter padrão"))</f>
        <v>Plano de ação imediato</v>
      </c>
    </row>
    <row r="14" spans="2:14" x14ac:dyDescent="0.25"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8"/>
      <c r="N14" s="44"/>
    </row>
    <row r="15" spans="2:14" x14ac:dyDescent="0.25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49"/>
      <c r="N15" s="25"/>
    </row>
    <row r="16" spans="2:14" x14ac:dyDescent="0.25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49"/>
      <c r="N16" s="25"/>
    </row>
    <row r="17" spans="2:14" x14ac:dyDescent="0.25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49"/>
      <c r="N17" s="25"/>
    </row>
    <row r="18" spans="2:14" x14ac:dyDescent="0.25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49"/>
      <c r="N18" s="25"/>
    </row>
    <row r="19" spans="2:14" x14ac:dyDescent="0.25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49"/>
      <c r="N19" s="25"/>
    </row>
    <row r="20" spans="2:14" x14ac:dyDescent="0.25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49"/>
      <c r="N20" s="25"/>
    </row>
    <row r="21" spans="2:14" x14ac:dyDescent="0.25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49"/>
      <c r="N21" s="25"/>
    </row>
    <row r="22" spans="2:14" x14ac:dyDescent="0.25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49"/>
      <c r="N22" s="25"/>
    </row>
    <row r="23" spans="2:14" x14ac:dyDescent="0.25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49"/>
      <c r="N23" s="25"/>
    </row>
    <row r="24" spans="2:14" x14ac:dyDescent="0.25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49"/>
      <c r="N24" s="25"/>
    </row>
    <row r="25" spans="2:14" x14ac:dyDescent="0.25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49"/>
      <c r="N25" s="25"/>
    </row>
    <row r="26" spans="2:14" x14ac:dyDescent="0.25"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49"/>
      <c r="N26" s="25"/>
    </row>
    <row r="27" spans="2:14" x14ac:dyDescent="0.25"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49"/>
      <c r="N27" s="25"/>
    </row>
    <row r="28" spans="2:14" x14ac:dyDescent="0.25">
      <c r="B28" s="23"/>
      <c r="C28" s="24"/>
      <c r="D28" s="24"/>
      <c r="E28" s="24"/>
      <c r="F28" s="24"/>
      <c r="G28" s="24"/>
      <c r="H28" s="24"/>
      <c r="I28" s="24"/>
      <c r="J28" s="24" t="s">
        <v>130</v>
      </c>
      <c r="K28" s="24"/>
      <c r="L28" s="24"/>
      <c r="M28" s="49"/>
      <c r="N28" s="25"/>
    </row>
    <row r="29" spans="2:14" x14ac:dyDescent="0.25">
      <c r="B29" s="23"/>
      <c r="C29" s="24"/>
      <c r="D29" s="24"/>
      <c r="E29" s="24"/>
      <c r="F29" s="24"/>
      <c r="G29" s="24"/>
      <c r="H29" s="24"/>
      <c r="I29" s="24"/>
      <c r="J29" s="24" t="s">
        <v>132</v>
      </c>
      <c r="K29" s="24"/>
      <c r="L29" s="24"/>
      <c r="M29" s="49"/>
      <c r="N29" s="25"/>
    </row>
    <row r="30" spans="2:14" ht="15.75" thickBot="1" x14ac:dyDescent="0.3"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2"/>
    </row>
  </sheetData>
  <mergeCells count="2">
    <mergeCell ref="B2:N3"/>
    <mergeCell ref="B4:N5"/>
  </mergeCells>
  <conditionalFormatting sqref="N1:N1048576">
    <cfRule type="cellIs" dxfId="283" priority="1" operator="equal">
      <formula>"Manter padrão"</formula>
    </cfRule>
    <cfRule type="cellIs" dxfId="282" priority="2" operator="equal">
      <formula>"Plano de ação imediato"</formula>
    </cfRule>
    <cfRule type="cellIs" dxfId="281" priority="3" operator="equal">
      <formula>"Acompanhar diariamente"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U534"/>
  <sheetViews>
    <sheetView showGridLines="0" workbookViewId="0">
      <pane ySplit="5" topLeftCell="A6" activePane="bottomLeft" state="frozen"/>
      <selection pane="bottomLeft" activeCell="R5" sqref="R5:U10"/>
    </sheetView>
  </sheetViews>
  <sheetFormatPr defaultColWidth="15.140625" defaultRowHeight="15" x14ac:dyDescent="0.25"/>
  <cols>
    <col min="1" max="1" width="13.85546875" bestFit="1" customWidth="1"/>
    <col min="2" max="2" width="14.42578125" bestFit="1" customWidth="1"/>
    <col min="3" max="3" width="13.140625" bestFit="1" customWidth="1"/>
    <col min="4" max="4" width="12.5703125" bestFit="1" customWidth="1"/>
    <col min="5" max="5" width="13.42578125" bestFit="1" customWidth="1"/>
    <col min="6" max="6" width="10.7109375" bestFit="1" customWidth="1"/>
    <col min="7" max="7" width="13.28515625" bestFit="1" customWidth="1"/>
    <col min="8" max="8" width="10.28515625" bestFit="1" customWidth="1"/>
    <col min="9" max="9" width="9" bestFit="1" customWidth="1"/>
    <col min="10" max="10" width="9.5703125" bestFit="1" customWidth="1"/>
    <col min="11" max="11" width="8.42578125" bestFit="1" customWidth="1"/>
    <col min="12" max="12" width="19.5703125" bestFit="1" customWidth="1"/>
    <col min="13" max="13" width="31.140625" bestFit="1" customWidth="1"/>
    <col min="14" max="14" width="12.5703125" bestFit="1" customWidth="1"/>
    <col min="15" max="15" width="13.85546875" bestFit="1" customWidth="1"/>
    <col min="16" max="16" width="28.28515625" hidden="1" customWidth="1"/>
    <col min="17" max="17" width="2.5703125" customWidth="1"/>
  </cols>
  <sheetData>
    <row r="1" spans="1:21" x14ac:dyDescent="0.25">
      <c r="A1" s="156" t="s">
        <v>127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</row>
    <row r="2" spans="1:21" x14ac:dyDescent="0.2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</row>
    <row r="3" spans="1:21" x14ac:dyDescent="0.25">
      <c r="A3" s="102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21" x14ac:dyDescent="0.25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</row>
    <row r="5" spans="1:21" ht="30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3" t="s">
        <v>12</v>
      </c>
      <c r="M5" s="15" t="s">
        <v>13</v>
      </c>
      <c r="N5" s="14" t="s">
        <v>14</v>
      </c>
      <c r="O5" s="1" t="s">
        <v>15</v>
      </c>
      <c r="P5" s="1" t="s">
        <v>16</v>
      </c>
      <c r="R5" s="155" t="s">
        <v>17</v>
      </c>
      <c r="S5" s="154"/>
      <c r="T5" s="154"/>
      <c r="U5" s="154"/>
    </row>
    <row r="6" spans="1:21" x14ac:dyDescent="0.25">
      <c r="A6" s="2">
        <v>46141</v>
      </c>
      <c r="B6" s="3" t="s">
        <v>106</v>
      </c>
      <c r="C6" s="3">
        <v>3895</v>
      </c>
      <c r="D6" s="3" t="s">
        <v>114</v>
      </c>
      <c r="E6" s="3" t="s">
        <v>115</v>
      </c>
      <c r="F6" s="3" t="s">
        <v>18</v>
      </c>
      <c r="G6" s="3" t="s">
        <v>18</v>
      </c>
      <c r="H6" s="3" t="s">
        <v>18</v>
      </c>
      <c r="I6" s="3" t="s">
        <v>18</v>
      </c>
      <c r="J6" s="3" t="str">
        <f>IF(C6="","",IF(E6="Retorno Total"," ",IF(E6="Cancelado"," ",IF(AND(G6="SIM",H6="SIM"),"SIM","NÃO"))))</f>
        <v>SIM</v>
      </c>
      <c r="K6" s="3" t="str">
        <f t="shared" ref="K6:K69" si="0">IF(C6="","",IF(AND(F6="SIM",I6="SIM",J6="SIM"),"OK","NOK"))</f>
        <v>OK</v>
      </c>
      <c r="L6" s="11" t="s">
        <v>42</v>
      </c>
      <c r="M6" s="3"/>
      <c r="N6" s="12" t="s">
        <v>84</v>
      </c>
      <c r="O6" s="3" t="str">
        <f>IF(B6="","",IFERROR(IF(VLOOKUP(B6,AUXILIAR!$O$2:$P$50,2,FALSE)="","CADASTRAR GERENTE",VLOOKUP(B6,AUXILIAR!$O$2:$P$50,2,FALSE)),"CADASTRAR GERENTE"))</f>
        <v>Danilo</v>
      </c>
      <c r="P6" s="3" t="str">
        <f t="shared" ref="P6:P69" si="1">IF(C6="","",TEXT(A6,"yyyymmdd")&amp;"-"&amp;B6&amp;"-"&amp;C6)</f>
        <v>yyyy0429-Loja ADE-3895</v>
      </c>
      <c r="R6" s="153" t="s">
        <v>20</v>
      </c>
      <c r="S6" s="154"/>
      <c r="T6" s="154"/>
      <c r="U6" s="154"/>
    </row>
    <row r="7" spans="1:21" x14ac:dyDescent="0.25">
      <c r="A7" s="2">
        <v>46141</v>
      </c>
      <c r="B7" s="3" t="s">
        <v>106</v>
      </c>
      <c r="C7" s="3">
        <v>3896</v>
      </c>
      <c r="D7" s="3" t="s">
        <v>114</v>
      </c>
      <c r="E7" s="3" t="s">
        <v>115</v>
      </c>
      <c r="F7" s="3" t="s">
        <v>18</v>
      </c>
      <c r="G7" s="3" t="s">
        <v>18</v>
      </c>
      <c r="H7" s="3" t="s">
        <v>18</v>
      </c>
      <c r="I7" s="3" t="s">
        <v>18</v>
      </c>
      <c r="J7" s="3" t="str">
        <f t="shared" ref="J7:J70" si="2">IF(C7="","",IF(E7="Retorno Total"," ",IF(E7="Cancelado"," ",IF(AND(G7="SIM",H7="SIM"),"SIM","NÃO"))))</f>
        <v>SIM</v>
      </c>
      <c r="K7" s="3" t="str">
        <f t="shared" si="0"/>
        <v>OK</v>
      </c>
      <c r="L7" s="11" t="s">
        <v>42</v>
      </c>
      <c r="M7" s="3"/>
      <c r="N7" s="12" t="s">
        <v>84</v>
      </c>
      <c r="O7" s="3" t="str">
        <f>IF(B7="","",IFERROR(IF(VLOOKUP(B7,AUXILIAR!$O$2:$P$50,2,FALSE)="","CADASTRAR GERENTE",VLOOKUP(B7,AUXILIAR!$O$2:$P$50,2,FALSE)),"CADASTRAR GERENTE"))</f>
        <v>Danilo</v>
      </c>
      <c r="P7" s="3" t="str">
        <f t="shared" si="1"/>
        <v>yyyy0429-Loja ADE-3896</v>
      </c>
      <c r="R7" s="153" t="s">
        <v>21</v>
      </c>
      <c r="S7" s="154"/>
      <c r="T7" s="154"/>
      <c r="U7" s="154"/>
    </row>
    <row r="8" spans="1:21" x14ac:dyDescent="0.25">
      <c r="A8" s="2">
        <v>46141</v>
      </c>
      <c r="B8" s="3" t="s">
        <v>106</v>
      </c>
      <c r="C8" s="3">
        <v>3897</v>
      </c>
      <c r="D8" s="3" t="s">
        <v>114</v>
      </c>
      <c r="E8" s="3" t="s">
        <v>115</v>
      </c>
      <c r="F8" s="3" t="s">
        <v>18</v>
      </c>
      <c r="G8" s="3" t="s">
        <v>18</v>
      </c>
      <c r="H8" s="3" t="s">
        <v>19</v>
      </c>
      <c r="I8" s="3" t="s">
        <v>18</v>
      </c>
      <c r="J8" s="3" t="str">
        <f t="shared" si="2"/>
        <v>NÃO</v>
      </c>
      <c r="K8" s="3" t="str">
        <f t="shared" si="0"/>
        <v>NOK</v>
      </c>
      <c r="L8" s="11" t="s">
        <v>50</v>
      </c>
      <c r="M8" s="3"/>
      <c r="N8" s="12" t="s">
        <v>84</v>
      </c>
      <c r="O8" s="3" t="str">
        <f>IF(B8="","",IFERROR(IF(VLOOKUP(B8,AUXILIAR!$O$2:$P$50,2,FALSE)="","CADASTRAR GERENTE",VLOOKUP(B8,AUXILIAR!$O$2:$P$50,2,FALSE)),"CADASTRAR GERENTE"))</f>
        <v>Danilo</v>
      </c>
      <c r="P8" s="3" t="str">
        <f t="shared" si="1"/>
        <v>yyyy0429-Loja ADE-3897</v>
      </c>
      <c r="R8" s="153" t="s">
        <v>22</v>
      </c>
      <c r="S8" s="154"/>
      <c r="T8" s="154"/>
      <c r="U8" s="154"/>
    </row>
    <row r="9" spans="1:21" x14ac:dyDescent="0.25">
      <c r="A9" s="2">
        <v>46141</v>
      </c>
      <c r="B9" s="3" t="s">
        <v>106</v>
      </c>
      <c r="C9" s="3">
        <v>3901</v>
      </c>
      <c r="D9" s="3" t="s">
        <v>114</v>
      </c>
      <c r="E9" s="3" t="s">
        <v>115</v>
      </c>
      <c r="F9" s="3" t="s">
        <v>18</v>
      </c>
      <c r="G9" s="3" t="s">
        <v>18</v>
      </c>
      <c r="H9" s="3" t="s">
        <v>18</v>
      </c>
      <c r="I9" s="3" t="s">
        <v>18</v>
      </c>
      <c r="J9" s="3" t="str">
        <f t="shared" si="2"/>
        <v>SIM</v>
      </c>
      <c r="K9" s="3" t="str">
        <f t="shared" si="0"/>
        <v>OK</v>
      </c>
      <c r="L9" s="11" t="s">
        <v>42</v>
      </c>
      <c r="M9" s="3"/>
      <c r="N9" s="12" t="s">
        <v>84</v>
      </c>
      <c r="O9" s="3" t="str">
        <f>IF(B9="","",IFERROR(IF(VLOOKUP(B9,AUXILIAR!$O$2:$P$50,2,FALSE)="","CADASTRAR GERENTE",VLOOKUP(B9,AUXILIAR!$O$2:$P$50,2,FALSE)),"CADASTRAR GERENTE"))</f>
        <v>Danilo</v>
      </c>
      <c r="P9" s="3" t="str">
        <f t="shared" si="1"/>
        <v>yyyy0429-Loja ADE-3901</v>
      </c>
      <c r="R9" s="153" t="s">
        <v>23</v>
      </c>
      <c r="S9" s="154"/>
      <c r="T9" s="154"/>
      <c r="U9" s="154"/>
    </row>
    <row r="10" spans="1:21" x14ac:dyDescent="0.25">
      <c r="A10" s="2">
        <v>46149</v>
      </c>
      <c r="B10" s="3" t="s">
        <v>101</v>
      </c>
      <c r="C10" s="3">
        <v>3902</v>
      </c>
      <c r="D10" s="3" t="s">
        <v>114</v>
      </c>
      <c r="E10" s="3" t="s">
        <v>115</v>
      </c>
      <c r="F10" s="3" t="s">
        <v>18</v>
      </c>
      <c r="G10" s="3" t="s">
        <v>18</v>
      </c>
      <c r="H10" s="3" t="s">
        <v>18</v>
      </c>
      <c r="I10" s="3" t="s">
        <v>18</v>
      </c>
      <c r="J10" s="3" t="str">
        <f t="shared" si="2"/>
        <v>SIM</v>
      </c>
      <c r="K10" s="3" t="str">
        <f t="shared" si="0"/>
        <v>OK</v>
      </c>
      <c r="L10" s="11" t="s">
        <v>42</v>
      </c>
      <c r="M10" s="3"/>
      <c r="N10" s="12" t="s">
        <v>84</v>
      </c>
      <c r="O10" s="3" t="str">
        <f>IF(B10="","",IFERROR(IF(VLOOKUP(B10,AUXILIAR!$O$2:$P$50,2,FALSE)="","CADASTRAR GERENTE",VLOOKUP(B10,AUXILIAR!$O$2:$P$50,2,FALSE)),"CADASTRAR GERENTE"))</f>
        <v>Cinthya</v>
      </c>
      <c r="P10" s="3" t="str">
        <f t="shared" si="1"/>
        <v>yyyy0507-Loja Pistão-3902</v>
      </c>
      <c r="R10" s="153" t="s">
        <v>24</v>
      </c>
      <c r="S10" s="154"/>
      <c r="T10" s="154"/>
      <c r="U10" s="154"/>
    </row>
    <row r="11" spans="1:21" x14ac:dyDescent="0.25">
      <c r="A11" s="2">
        <v>46149</v>
      </c>
      <c r="B11" s="3" t="s">
        <v>101</v>
      </c>
      <c r="C11" s="3">
        <v>3903</v>
      </c>
      <c r="D11" s="3" t="s">
        <v>114</v>
      </c>
      <c r="E11" s="3" t="s">
        <v>55</v>
      </c>
      <c r="F11" s="3"/>
      <c r="G11" s="3"/>
      <c r="H11" s="3"/>
      <c r="I11" s="3"/>
      <c r="J11" s="3" t="str">
        <f t="shared" si="2"/>
        <v xml:space="preserve"> </v>
      </c>
      <c r="K11" s="3" t="str">
        <f t="shared" si="0"/>
        <v>NOK</v>
      </c>
      <c r="L11" s="11" t="s">
        <v>56</v>
      </c>
      <c r="M11" s="3"/>
      <c r="N11" s="12" t="s">
        <v>84</v>
      </c>
      <c r="O11" s="3" t="str">
        <f>IF(B11="","",IFERROR(IF(VLOOKUP(B11,AUXILIAR!$O$2:$P$50,2,FALSE)="","CADASTRAR GERENTE",VLOOKUP(B11,AUXILIAR!$O$2:$P$50,2,FALSE)),"CADASTRAR GERENTE"))</f>
        <v>Cinthya</v>
      </c>
      <c r="P11" s="3" t="str">
        <f t="shared" si="1"/>
        <v>yyyy0507-Loja Pistão-3903</v>
      </c>
    </row>
    <row r="12" spans="1:21" x14ac:dyDescent="0.25">
      <c r="A12" s="2">
        <v>46141</v>
      </c>
      <c r="B12" s="3" t="s">
        <v>106</v>
      </c>
      <c r="C12" s="3">
        <v>3904</v>
      </c>
      <c r="D12" s="3" t="s">
        <v>114</v>
      </c>
      <c r="E12" s="3" t="s">
        <v>115</v>
      </c>
      <c r="F12" s="3" t="s">
        <v>18</v>
      </c>
      <c r="G12" s="3" t="s">
        <v>18</v>
      </c>
      <c r="H12" s="3" t="s">
        <v>18</v>
      </c>
      <c r="I12" s="3" t="s">
        <v>18</v>
      </c>
      <c r="J12" s="3" t="str">
        <f t="shared" si="2"/>
        <v>SIM</v>
      </c>
      <c r="K12" s="3" t="str">
        <f t="shared" si="0"/>
        <v>OK</v>
      </c>
      <c r="L12" s="11" t="s">
        <v>140</v>
      </c>
      <c r="M12" s="3"/>
      <c r="N12" s="12" t="s">
        <v>84</v>
      </c>
      <c r="O12" s="3" t="str">
        <f>IF(B12="","",IFERROR(IF(VLOOKUP(B12,AUXILIAR!$O$2:$P$50,2,FALSE)="","CADASTRAR GERENTE",VLOOKUP(B12,AUXILIAR!$O$2:$P$50,2,FALSE)),"CADASTRAR GERENTE"))</f>
        <v>Danilo</v>
      </c>
      <c r="P12" s="3" t="str">
        <f t="shared" si="1"/>
        <v>yyyy0429-Loja ADE-3904</v>
      </c>
    </row>
    <row r="13" spans="1:21" x14ac:dyDescent="0.25">
      <c r="A13" s="2">
        <v>46141</v>
      </c>
      <c r="B13" s="3" t="s">
        <v>106</v>
      </c>
      <c r="C13" s="3">
        <v>3905</v>
      </c>
      <c r="D13" s="3" t="s">
        <v>114</v>
      </c>
      <c r="E13" s="3" t="s">
        <v>115</v>
      </c>
      <c r="F13" s="3" t="s">
        <v>18</v>
      </c>
      <c r="G13" s="3" t="s">
        <v>18</v>
      </c>
      <c r="H13" s="3" t="s">
        <v>19</v>
      </c>
      <c r="I13" s="3" t="s">
        <v>18</v>
      </c>
      <c r="J13" s="3" t="str">
        <f t="shared" si="2"/>
        <v>NÃO</v>
      </c>
      <c r="K13" s="3" t="str">
        <f t="shared" si="0"/>
        <v>NOK</v>
      </c>
      <c r="L13" s="11" t="s">
        <v>50</v>
      </c>
      <c r="M13" s="3"/>
      <c r="N13" s="12" t="s">
        <v>84</v>
      </c>
      <c r="O13" s="3" t="str">
        <f>IF(B13="","",IFERROR(IF(VLOOKUP(B13,AUXILIAR!$O$2:$P$50,2,FALSE)="","CADASTRAR GERENTE",VLOOKUP(B13,AUXILIAR!$O$2:$P$50,2,FALSE)),"CADASTRAR GERENTE"))</f>
        <v>Danilo</v>
      </c>
      <c r="P13" s="3" t="str">
        <f t="shared" si="1"/>
        <v>yyyy0429-Loja ADE-3905</v>
      </c>
    </row>
    <row r="14" spans="1:21" x14ac:dyDescent="0.25">
      <c r="A14" s="2">
        <v>46141</v>
      </c>
      <c r="B14" s="3" t="s">
        <v>106</v>
      </c>
      <c r="C14" s="3">
        <v>3906</v>
      </c>
      <c r="D14" s="3" t="s">
        <v>114</v>
      </c>
      <c r="E14" s="3" t="s">
        <v>115</v>
      </c>
      <c r="F14" s="3" t="s">
        <v>18</v>
      </c>
      <c r="G14" s="3" t="s">
        <v>18</v>
      </c>
      <c r="H14" s="3" t="s">
        <v>18</v>
      </c>
      <c r="I14" s="3" t="s">
        <v>18</v>
      </c>
      <c r="J14" s="3" t="str">
        <f t="shared" si="2"/>
        <v>SIM</v>
      </c>
      <c r="K14" s="3" t="str">
        <f t="shared" si="0"/>
        <v>OK</v>
      </c>
      <c r="L14" s="11" t="s">
        <v>42</v>
      </c>
      <c r="M14" s="3"/>
      <c r="N14" s="12" t="s">
        <v>84</v>
      </c>
      <c r="O14" s="3" t="str">
        <f>IF(B14="","",IFERROR(IF(VLOOKUP(B14,AUXILIAR!$O$2:$P$50,2,FALSE)="","CADASTRAR GERENTE",VLOOKUP(B14,AUXILIAR!$O$2:$P$50,2,FALSE)),"CADASTRAR GERENTE"))</f>
        <v>Danilo</v>
      </c>
      <c r="P14" s="3" t="str">
        <f t="shared" si="1"/>
        <v>yyyy0429-Loja ADE-3906</v>
      </c>
    </row>
    <row r="15" spans="1:21" x14ac:dyDescent="0.25">
      <c r="A15" s="2">
        <v>46141</v>
      </c>
      <c r="B15" s="3" t="s">
        <v>106</v>
      </c>
      <c r="C15" s="3">
        <v>3907</v>
      </c>
      <c r="D15" s="3" t="s">
        <v>114</v>
      </c>
      <c r="E15" s="3" t="s">
        <v>115</v>
      </c>
      <c r="F15" s="3" t="s">
        <v>18</v>
      </c>
      <c r="G15" s="3" t="s">
        <v>18</v>
      </c>
      <c r="H15" s="3" t="s">
        <v>18</v>
      </c>
      <c r="I15" s="3" t="s">
        <v>18</v>
      </c>
      <c r="J15" s="3" t="str">
        <f t="shared" si="2"/>
        <v>SIM</v>
      </c>
      <c r="K15" s="3" t="str">
        <f t="shared" si="0"/>
        <v>OK</v>
      </c>
      <c r="L15" s="11" t="s">
        <v>42</v>
      </c>
      <c r="M15" s="3"/>
      <c r="N15" s="12" t="s">
        <v>84</v>
      </c>
      <c r="O15" s="3" t="str">
        <f>IF(B15="","",IFERROR(IF(VLOOKUP(B15,AUXILIAR!$O$2:$P$50,2,FALSE)="","CADASTRAR GERENTE",VLOOKUP(B15,AUXILIAR!$O$2:$P$50,2,FALSE)),"CADASTRAR GERENTE"))</f>
        <v>Danilo</v>
      </c>
      <c r="P15" s="3" t="str">
        <f t="shared" si="1"/>
        <v>yyyy0429-Loja ADE-3907</v>
      </c>
    </row>
    <row r="16" spans="1:21" x14ac:dyDescent="0.25">
      <c r="A16" s="2">
        <v>46149</v>
      </c>
      <c r="B16" s="3" t="s">
        <v>104</v>
      </c>
      <c r="C16" s="3">
        <v>3908</v>
      </c>
      <c r="D16" s="3" t="s">
        <v>135</v>
      </c>
      <c r="E16" s="3" t="s">
        <v>115</v>
      </c>
      <c r="F16" s="3" t="s">
        <v>18</v>
      </c>
      <c r="G16" s="3" t="s">
        <v>18</v>
      </c>
      <c r="H16" s="3" t="s">
        <v>18</v>
      </c>
      <c r="I16" s="3" t="s">
        <v>18</v>
      </c>
      <c r="J16" s="3" t="str">
        <f t="shared" si="2"/>
        <v>SIM</v>
      </c>
      <c r="K16" s="3" t="str">
        <f t="shared" si="0"/>
        <v>OK</v>
      </c>
      <c r="L16" s="11" t="s">
        <v>140</v>
      </c>
      <c r="M16" s="3"/>
      <c r="N16" s="12" t="s">
        <v>84</v>
      </c>
      <c r="O16" s="3" t="str">
        <f>IF(B16="","",IFERROR(IF(VLOOKUP(B16,AUXILIAR!$O$2:$P$50,2,FALSE)="","CADASTRAR GERENTE",VLOOKUP(B16,AUXILIAR!$O$2:$P$50,2,FALSE)),"CADASTRAR GERENTE"))</f>
        <v>Cleonice</v>
      </c>
      <c r="P16" s="3" t="str">
        <f t="shared" si="1"/>
        <v>yyyy0507-Loja Valparaiso-3908</v>
      </c>
    </row>
    <row r="17" spans="1:16" x14ac:dyDescent="0.25">
      <c r="A17" s="2">
        <v>46149</v>
      </c>
      <c r="B17" s="3" t="s">
        <v>104</v>
      </c>
      <c r="C17" s="3">
        <v>3909</v>
      </c>
      <c r="D17" s="3" t="s">
        <v>135</v>
      </c>
      <c r="E17" s="3" t="s">
        <v>115</v>
      </c>
      <c r="F17" s="3" t="s">
        <v>18</v>
      </c>
      <c r="G17" s="3" t="s">
        <v>18</v>
      </c>
      <c r="H17" s="3" t="s">
        <v>18</v>
      </c>
      <c r="I17" s="3" t="s">
        <v>18</v>
      </c>
      <c r="J17" s="3" t="str">
        <f t="shared" si="2"/>
        <v>SIM</v>
      </c>
      <c r="K17" s="3" t="str">
        <f t="shared" si="0"/>
        <v>OK</v>
      </c>
      <c r="L17" s="11" t="s">
        <v>140</v>
      </c>
      <c r="M17" s="3"/>
      <c r="N17" s="12" t="s">
        <v>84</v>
      </c>
      <c r="O17" s="3" t="str">
        <f>IF(B17="","",IFERROR(IF(VLOOKUP(B17,AUXILIAR!$O$2:$P$50,2,FALSE)="","CADASTRAR GERENTE",VLOOKUP(B17,AUXILIAR!$O$2:$P$50,2,FALSE)),"CADASTRAR GERENTE"))</f>
        <v>Cleonice</v>
      </c>
      <c r="P17" s="3" t="str">
        <f t="shared" si="1"/>
        <v>yyyy0507-Loja Valparaiso-3909</v>
      </c>
    </row>
    <row r="18" spans="1:16" x14ac:dyDescent="0.25">
      <c r="A18" s="2">
        <v>46149</v>
      </c>
      <c r="B18" s="3" t="s">
        <v>104</v>
      </c>
      <c r="C18" s="3">
        <v>3910</v>
      </c>
      <c r="D18" s="3" t="s">
        <v>135</v>
      </c>
      <c r="E18" s="3" t="s">
        <v>115</v>
      </c>
      <c r="F18" s="3" t="s">
        <v>18</v>
      </c>
      <c r="G18" s="3" t="s">
        <v>18</v>
      </c>
      <c r="H18" s="3" t="s">
        <v>18</v>
      </c>
      <c r="I18" s="3" t="s">
        <v>18</v>
      </c>
      <c r="J18" s="3" t="str">
        <f t="shared" si="2"/>
        <v>SIM</v>
      </c>
      <c r="K18" s="3" t="str">
        <f t="shared" si="0"/>
        <v>OK</v>
      </c>
      <c r="L18" s="11" t="s">
        <v>140</v>
      </c>
      <c r="M18" s="3"/>
      <c r="N18" s="12" t="s">
        <v>84</v>
      </c>
      <c r="O18" s="3" t="str">
        <f>IF(B18="","",IFERROR(IF(VLOOKUP(B18,AUXILIAR!$O$2:$P$50,2,FALSE)="","CADASTRAR GERENTE",VLOOKUP(B18,AUXILIAR!$O$2:$P$50,2,FALSE)),"CADASTRAR GERENTE"))</f>
        <v>Cleonice</v>
      </c>
      <c r="P18" s="3" t="str">
        <f t="shared" si="1"/>
        <v>yyyy0507-Loja Valparaiso-3910</v>
      </c>
    </row>
    <row r="19" spans="1:16" x14ac:dyDescent="0.25">
      <c r="A19" s="2">
        <v>46149</v>
      </c>
      <c r="B19" s="3" t="s">
        <v>104</v>
      </c>
      <c r="C19" s="3">
        <v>3911</v>
      </c>
      <c r="D19" s="3" t="s">
        <v>135</v>
      </c>
      <c r="E19" s="3" t="s">
        <v>115</v>
      </c>
      <c r="F19" s="3" t="s">
        <v>18</v>
      </c>
      <c r="G19" s="3" t="s">
        <v>18</v>
      </c>
      <c r="H19" s="3" t="s">
        <v>18</v>
      </c>
      <c r="I19" s="3" t="s">
        <v>18</v>
      </c>
      <c r="J19" s="3" t="str">
        <f t="shared" si="2"/>
        <v>SIM</v>
      </c>
      <c r="K19" s="3" t="str">
        <f t="shared" si="0"/>
        <v>OK</v>
      </c>
      <c r="L19" s="11" t="s">
        <v>140</v>
      </c>
      <c r="M19" s="3"/>
      <c r="N19" s="12" t="s">
        <v>84</v>
      </c>
      <c r="O19" s="3" t="str">
        <f>IF(B19="","",IFERROR(IF(VLOOKUP(B19,AUXILIAR!$O$2:$P$50,2,FALSE)="","CADASTRAR GERENTE",VLOOKUP(B19,AUXILIAR!$O$2:$P$50,2,FALSE)),"CADASTRAR GERENTE"))</f>
        <v>Cleonice</v>
      </c>
      <c r="P19" s="3" t="str">
        <f t="shared" si="1"/>
        <v>yyyy0507-Loja Valparaiso-3911</v>
      </c>
    </row>
    <row r="20" spans="1:16" x14ac:dyDescent="0.25">
      <c r="A20" s="2">
        <v>46149</v>
      </c>
      <c r="B20" s="3" t="s">
        <v>104</v>
      </c>
      <c r="C20" s="3">
        <v>3912</v>
      </c>
      <c r="D20" s="3" t="s">
        <v>135</v>
      </c>
      <c r="E20" s="3" t="s">
        <v>55</v>
      </c>
      <c r="F20" s="3"/>
      <c r="G20" s="3"/>
      <c r="H20" s="3"/>
      <c r="I20" s="3"/>
      <c r="J20" s="3" t="str">
        <f t="shared" si="2"/>
        <v xml:space="preserve"> </v>
      </c>
      <c r="K20" s="3" t="str">
        <f t="shared" si="0"/>
        <v>NOK</v>
      </c>
      <c r="L20" s="11" t="s">
        <v>56</v>
      </c>
      <c r="M20" s="3"/>
      <c r="N20" s="12" t="s">
        <v>84</v>
      </c>
      <c r="O20" s="3" t="str">
        <f>IF(B20="","",IFERROR(IF(VLOOKUP(B20,AUXILIAR!$O$2:$P$50,2,FALSE)="","CADASTRAR GERENTE",VLOOKUP(B20,AUXILIAR!$O$2:$P$50,2,FALSE)),"CADASTRAR GERENTE"))</f>
        <v>Cleonice</v>
      </c>
      <c r="P20" s="3" t="str">
        <f t="shared" si="1"/>
        <v>yyyy0507-Loja Valparaiso-3912</v>
      </c>
    </row>
    <row r="21" spans="1:16" s="55" customFormat="1" x14ac:dyDescent="0.25">
      <c r="A21" s="2">
        <v>46149</v>
      </c>
      <c r="B21" s="3" t="s">
        <v>104</v>
      </c>
      <c r="C21" s="3">
        <v>3913</v>
      </c>
      <c r="D21" s="3" t="s">
        <v>124</v>
      </c>
      <c r="E21" s="3" t="s">
        <v>115</v>
      </c>
      <c r="F21" s="3" t="s">
        <v>19</v>
      </c>
      <c r="G21" s="3" t="s">
        <v>19</v>
      </c>
      <c r="H21" s="3" t="s">
        <v>19</v>
      </c>
      <c r="I21" s="3" t="s">
        <v>18</v>
      </c>
      <c r="J21" s="3" t="str">
        <f t="shared" si="2"/>
        <v>NÃO</v>
      </c>
      <c r="K21" s="3" t="str">
        <f t="shared" si="0"/>
        <v>NOK</v>
      </c>
      <c r="L21" s="11" t="s">
        <v>57</v>
      </c>
      <c r="M21" s="3" t="s">
        <v>136</v>
      </c>
      <c r="N21" s="12" t="s">
        <v>84</v>
      </c>
      <c r="O21" s="3" t="str">
        <f>IF(B21="","",IFERROR(IF(VLOOKUP(B21,AUXILIAR!$O$2:$P$50,2,FALSE)="","CADASTRAR GERENTE",VLOOKUP(B21,AUXILIAR!$O$2:$P$50,2,FALSE)),"CADASTRAR GERENTE"))</f>
        <v>Cleonice</v>
      </c>
      <c r="P21" s="3" t="str">
        <f t="shared" si="1"/>
        <v>yyyy0507-Loja Valparaiso-3913</v>
      </c>
    </row>
    <row r="22" spans="1:16" x14ac:dyDescent="0.25">
      <c r="A22" s="2">
        <v>46149</v>
      </c>
      <c r="B22" s="3" t="s">
        <v>104</v>
      </c>
      <c r="C22" s="3">
        <v>3914</v>
      </c>
      <c r="D22" s="3" t="s">
        <v>135</v>
      </c>
      <c r="E22" s="3" t="s">
        <v>115</v>
      </c>
      <c r="F22" s="3" t="s">
        <v>18</v>
      </c>
      <c r="G22" s="3" t="s">
        <v>18</v>
      </c>
      <c r="H22" s="3" t="s">
        <v>18</v>
      </c>
      <c r="I22" s="3" t="s">
        <v>18</v>
      </c>
      <c r="J22" s="3" t="str">
        <f t="shared" si="2"/>
        <v>SIM</v>
      </c>
      <c r="K22" s="3" t="str">
        <f t="shared" si="0"/>
        <v>OK</v>
      </c>
      <c r="L22" s="11" t="s">
        <v>140</v>
      </c>
      <c r="M22" s="3"/>
      <c r="N22" s="12" t="s">
        <v>84</v>
      </c>
      <c r="O22" s="3" t="str">
        <f>IF(B22="","",IFERROR(IF(VLOOKUP(B22,AUXILIAR!$O$2:$P$50,2,FALSE)="","CADASTRAR GERENTE",VLOOKUP(B22,AUXILIAR!$O$2:$P$50,2,FALSE)),"CADASTRAR GERENTE"))</f>
        <v>Cleonice</v>
      </c>
      <c r="P22" s="3" t="str">
        <f t="shared" si="1"/>
        <v>yyyy0507-Loja Valparaiso-3914</v>
      </c>
    </row>
    <row r="23" spans="1:16" s="55" customFormat="1" x14ac:dyDescent="0.25">
      <c r="A23" s="2">
        <v>46149</v>
      </c>
      <c r="B23" s="3" t="s">
        <v>104</v>
      </c>
      <c r="C23" s="3">
        <v>3915</v>
      </c>
      <c r="D23" s="3" t="s">
        <v>135</v>
      </c>
      <c r="E23" s="3" t="s">
        <v>115</v>
      </c>
      <c r="F23" s="3" t="s">
        <v>19</v>
      </c>
      <c r="G23" s="3" t="s">
        <v>19</v>
      </c>
      <c r="H23" s="3" t="s">
        <v>19</v>
      </c>
      <c r="I23" s="3" t="s">
        <v>18</v>
      </c>
      <c r="J23" s="3" t="str">
        <f t="shared" si="2"/>
        <v>NÃO</v>
      </c>
      <c r="K23" s="3" t="str">
        <f t="shared" si="0"/>
        <v>NOK</v>
      </c>
      <c r="L23" s="11" t="s">
        <v>57</v>
      </c>
      <c r="M23" s="3" t="s">
        <v>136</v>
      </c>
      <c r="N23" s="12" t="s">
        <v>84</v>
      </c>
      <c r="O23" s="3" t="str">
        <f>IF(B23="","",IFERROR(IF(VLOOKUP(B23,AUXILIAR!$O$2:$P$50,2,FALSE)="","CADASTRAR GERENTE",VLOOKUP(B23,AUXILIAR!$O$2:$P$50,2,FALSE)),"CADASTRAR GERENTE"))</f>
        <v>Cleonice</v>
      </c>
      <c r="P23" s="3" t="str">
        <f t="shared" si="1"/>
        <v>yyyy0507-Loja Valparaiso-3915</v>
      </c>
    </row>
    <row r="24" spans="1:16" x14ac:dyDescent="0.25">
      <c r="A24" s="2">
        <v>46149</v>
      </c>
      <c r="B24" s="3" t="s">
        <v>101</v>
      </c>
      <c r="C24" s="3">
        <v>3916</v>
      </c>
      <c r="D24" s="3" t="s">
        <v>114</v>
      </c>
      <c r="E24" s="3" t="s">
        <v>115</v>
      </c>
      <c r="F24" s="3" t="s">
        <v>18</v>
      </c>
      <c r="G24" s="3" t="s">
        <v>18</v>
      </c>
      <c r="H24" s="3" t="s">
        <v>18</v>
      </c>
      <c r="I24" s="3" t="s">
        <v>18</v>
      </c>
      <c r="J24" s="3" t="str">
        <f t="shared" si="2"/>
        <v>SIM</v>
      </c>
      <c r="K24" s="3" t="str">
        <f t="shared" si="0"/>
        <v>OK</v>
      </c>
      <c r="L24" s="11" t="s">
        <v>42</v>
      </c>
      <c r="M24" s="3"/>
      <c r="N24" s="12" t="s">
        <v>84</v>
      </c>
      <c r="O24" s="3" t="str">
        <f>IF(B24="","",IFERROR(IF(VLOOKUP(B24,AUXILIAR!$O$2:$P$50,2,FALSE)="","CADASTRAR GERENTE",VLOOKUP(B24,AUXILIAR!$O$2:$P$50,2,FALSE)),"CADASTRAR GERENTE"))</f>
        <v>Cinthya</v>
      </c>
      <c r="P24" s="3" t="str">
        <f t="shared" si="1"/>
        <v>yyyy0507-Loja Pistão-3916</v>
      </c>
    </row>
    <row r="25" spans="1:16" x14ac:dyDescent="0.25">
      <c r="A25" s="2">
        <v>46149</v>
      </c>
      <c r="B25" s="3" t="s">
        <v>101</v>
      </c>
      <c r="C25" s="3">
        <v>3917</v>
      </c>
      <c r="D25" s="3" t="s">
        <v>114</v>
      </c>
      <c r="E25" s="3" t="s">
        <v>115</v>
      </c>
      <c r="F25" s="3" t="s">
        <v>18</v>
      </c>
      <c r="G25" s="3" t="s">
        <v>18</v>
      </c>
      <c r="H25" s="3" t="s">
        <v>18</v>
      </c>
      <c r="I25" s="3" t="s">
        <v>18</v>
      </c>
      <c r="J25" s="3" t="str">
        <f t="shared" si="2"/>
        <v>SIM</v>
      </c>
      <c r="K25" s="3" t="str">
        <f t="shared" si="0"/>
        <v>OK</v>
      </c>
      <c r="L25" s="11" t="s">
        <v>42</v>
      </c>
      <c r="M25" s="3"/>
      <c r="N25" s="12" t="s">
        <v>84</v>
      </c>
      <c r="O25" s="3" t="str">
        <f>IF(B25="","",IFERROR(IF(VLOOKUP(B25,AUXILIAR!$O$2:$P$50,2,FALSE)="","CADASTRAR GERENTE",VLOOKUP(B25,AUXILIAR!$O$2:$P$50,2,FALSE)),"CADASTRAR GERENTE"))</f>
        <v>Cinthya</v>
      </c>
      <c r="P25" s="3" t="str">
        <f t="shared" si="1"/>
        <v>yyyy0507-Loja Pistão-3917</v>
      </c>
    </row>
    <row r="26" spans="1:16" x14ac:dyDescent="0.25">
      <c r="A26" s="2">
        <v>46148</v>
      </c>
      <c r="B26" s="3" t="s">
        <v>106</v>
      </c>
      <c r="C26" s="3">
        <v>3919</v>
      </c>
      <c r="D26" s="3" t="s">
        <v>114</v>
      </c>
      <c r="E26" s="3" t="s">
        <v>115</v>
      </c>
      <c r="F26" s="3" t="s">
        <v>18</v>
      </c>
      <c r="G26" s="3" t="s">
        <v>18</v>
      </c>
      <c r="H26" s="3" t="s">
        <v>18</v>
      </c>
      <c r="I26" s="3" t="s">
        <v>18</v>
      </c>
      <c r="J26" s="3" t="str">
        <f t="shared" si="2"/>
        <v>SIM</v>
      </c>
      <c r="K26" s="3" t="str">
        <f t="shared" si="0"/>
        <v>OK</v>
      </c>
      <c r="L26" s="11" t="s">
        <v>42</v>
      </c>
      <c r="M26" s="3"/>
      <c r="N26" s="12" t="s">
        <v>84</v>
      </c>
      <c r="O26" s="3" t="str">
        <f>IF(B26="","",IFERROR(IF(VLOOKUP(B26,AUXILIAR!$O$2:$P$50,2,FALSE)="","CADASTRAR GERENTE",VLOOKUP(B26,AUXILIAR!$O$2:$P$50,2,FALSE)),"CADASTRAR GERENTE"))</f>
        <v>Danilo</v>
      </c>
      <c r="P26" s="3" t="str">
        <f t="shared" si="1"/>
        <v>yyyy0506-Loja ADE-3919</v>
      </c>
    </row>
    <row r="27" spans="1:16" s="55" customFormat="1" x14ac:dyDescent="0.25">
      <c r="A27" s="2">
        <v>46149</v>
      </c>
      <c r="B27" s="3" t="s">
        <v>104</v>
      </c>
      <c r="C27" s="3">
        <v>3920</v>
      </c>
      <c r="D27" s="3" t="s">
        <v>135</v>
      </c>
      <c r="E27" s="3" t="s">
        <v>115</v>
      </c>
      <c r="F27" s="3" t="s">
        <v>19</v>
      </c>
      <c r="G27" s="3" t="s">
        <v>19</v>
      </c>
      <c r="H27" s="3" t="s">
        <v>19</v>
      </c>
      <c r="I27" s="3" t="s">
        <v>18</v>
      </c>
      <c r="J27" s="3" t="str">
        <f t="shared" si="2"/>
        <v>NÃO</v>
      </c>
      <c r="K27" s="3" t="str">
        <f t="shared" si="0"/>
        <v>NOK</v>
      </c>
      <c r="L27" s="11" t="s">
        <v>57</v>
      </c>
      <c r="M27" s="3" t="s">
        <v>136</v>
      </c>
      <c r="N27" s="12" t="s">
        <v>84</v>
      </c>
      <c r="O27" s="3" t="str">
        <f>IF(B27="","",IFERROR(IF(VLOOKUP(B27,AUXILIAR!$O$2:$P$50,2,FALSE)="","CADASTRAR GERENTE",VLOOKUP(B27,AUXILIAR!$O$2:$P$50,2,FALSE)),"CADASTRAR GERENTE"))</f>
        <v>Cleonice</v>
      </c>
      <c r="P27" s="3" t="str">
        <f t="shared" si="1"/>
        <v>yyyy0507-Loja Valparaiso-3920</v>
      </c>
    </row>
    <row r="28" spans="1:16" x14ac:dyDescent="0.25">
      <c r="A28" s="2">
        <v>46149</v>
      </c>
      <c r="B28" s="3" t="s">
        <v>104</v>
      </c>
      <c r="C28" s="3">
        <v>3921</v>
      </c>
      <c r="D28" s="3" t="s">
        <v>135</v>
      </c>
      <c r="E28" s="3" t="s">
        <v>115</v>
      </c>
      <c r="F28" s="3" t="s">
        <v>18</v>
      </c>
      <c r="G28" s="3" t="s">
        <v>18</v>
      </c>
      <c r="H28" s="3" t="s">
        <v>18</v>
      </c>
      <c r="I28" s="3" t="s">
        <v>18</v>
      </c>
      <c r="J28" s="3" t="str">
        <f t="shared" si="2"/>
        <v>SIM</v>
      </c>
      <c r="K28" s="3" t="str">
        <f t="shared" si="0"/>
        <v>OK</v>
      </c>
      <c r="L28" s="11" t="s">
        <v>140</v>
      </c>
      <c r="M28" s="3"/>
      <c r="N28" s="12" t="s">
        <v>84</v>
      </c>
      <c r="O28" s="3" t="str">
        <f>IF(B28="","",IFERROR(IF(VLOOKUP(B28,AUXILIAR!$O$2:$P$50,2,FALSE)="","CADASTRAR GERENTE",VLOOKUP(B28,AUXILIAR!$O$2:$P$50,2,FALSE)),"CADASTRAR GERENTE"))</f>
        <v>Cleonice</v>
      </c>
      <c r="P28" s="3" t="str">
        <f t="shared" si="1"/>
        <v>yyyy0507-Loja Valparaiso-3921</v>
      </c>
    </row>
    <row r="29" spans="1:16" x14ac:dyDescent="0.25">
      <c r="A29" s="2">
        <v>46149</v>
      </c>
      <c r="B29" s="3" t="s">
        <v>104</v>
      </c>
      <c r="C29" s="3">
        <v>3922</v>
      </c>
      <c r="D29" s="3" t="s">
        <v>135</v>
      </c>
      <c r="E29" s="3" t="s">
        <v>115</v>
      </c>
      <c r="F29" s="3" t="s">
        <v>18</v>
      </c>
      <c r="G29" s="3" t="s">
        <v>18</v>
      </c>
      <c r="H29" s="3" t="s">
        <v>18</v>
      </c>
      <c r="I29" s="3" t="s">
        <v>18</v>
      </c>
      <c r="J29" s="3" t="str">
        <f t="shared" si="2"/>
        <v>SIM</v>
      </c>
      <c r="K29" s="3" t="str">
        <f t="shared" si="0"/>
        <v>OK</v>
      </c>
      <c r="L29" s="11" t="s">
        <v>140</v>
      </c>
      <c r="M29" s="3"/>
      <c r="N29" s="12" t="s">
        <v>84</v>
      </c>
      <c r="O29" s="3" t="str">
        <f>IF(B29="","",IFERROR(IF(VLOOKUP(B29,AUXILIAR!$O$2:$P$50,2,FALSE)="","CADASTRAR GERENTE",VLOOKUP(B29,AUXILIAR!$O$2:$P$50,2,FALSE)),"CADASTRAR GERENTE"))</f>
        <v>Cleonice</v>
      </c>
      <c r="P29" s="3" t="str">
        <f t="shared" si="1"/>
        <v>yyyy0507-Loja Valparaiso-3922</v>
      </c>
    </row>
    <row r="30" spans="1:16" x14ac:dyDescent="0.25">
      <c r="A30" s="2">
        <v>46149</v>
      </c>
      <c r="B30" s="3" t="s">
        <v>104</v>
      </c>
      <c r="C30" s="3">
        <v>3926</v>
      </c>
      <c r="D30" s="3" t="s">
        <v>135</v>
      </c>
      <c r="E30" s="3" t="s">
        <v>115</v>
      </c>
      <c r="F30" s="3" t="s">
        <v>18</v>
      </c>
      <c r="G30" s="3" t="s">
        <v>18</v>
      </c>
      <c r="H30" s="3" t="s">
        <v>18</v>
      </c>
      <c r="I30" s="3" t="s">
        <v>18</v>
      </c>
      <c r="J30" s="3" t="str">
        <f t="shared" si="2"/>
        <v>SIM</v>
      </c>
      <c r="K30" s="3" t="str">
        <f t="shared" si="0"/>
        <v>OK</v>
      </c>
      <c r="L30" s="11" t="s">
        <v>140</v>
      </c>
      <c r="M30" s="3"/>
      <c r="N30" s="12" t="s">
        <v>84</v>
      </c>
      <c r="O30" s="3" t="str">
        <f>IF(B30="","",IFERROR(IF(VLOOKUP(B30,AUXILIAR!$O$2:$P$50,2,FALSE)="","CADASTRAR GERENTE",VLOOKUP(B30,AUXILIAR!$O$2:$P$50,2,FALSE)),"CADASTRAR GERENTE"))</f>
        <v>Cleonice</v>
      </c>
      <c r="P30" s="3" t="str">
        <f t="shared" si="1"/>
        <v>yyyy0507-Loja Valparaiso-3926</v>
      </c>
    </row>
    <row r="31" spans="1:16" x14ac:dyDescent="0.25">
      <c r="A31" s="2">
        <v>46149</v>
      </c>
      <c r="B31" s="3" t="s">
        <v>104</v>
      </c>
      <c r="C31" s="3">
        <v>3927</v>
      </c>
      <c r="D31" s="3" t="s">
        <v>135</v>
      </c>
      <c r="E31" s="3" t="s">
        <v>115</v>
      </c>
      <c r="F31" s="3" t="s">
        <v>18</v>
      </c>
      <c r="G31" s="3" t="s">
        <v>18</v>
      </c>
      <c r="H31" s="3" t="s">
        <v>18</v>
      </c>
      <c r="I31" s="3" t="s">
        <v>18</v>
      </c>
      <c r="J31" s="3" t="str">
        <f t="shared" si="2"/>
        <v>SIM</v>
      </c>
      <c r="K31" s="3" t="str">
        <f t="shared" si="0"/>
        <v>OK</v>
      </c>
      <c r="L31" s="11" t="s">
        <v>140</v>
      </c>
      <c r="M31" s="3"/>
      <c r="N31" s="12" t="s">
        <v>84</v>
      </c>
      <c r="O31" s="3" t="str">
        <f>IF(B31="","",IFERROR(IF(VLOOKUP(B31,AUXILIAR!$O$2:$P$50,2,FALSE)="","CADASTRAR GERENTE",VLOOKUP(B31,AUXILIAR!$O$2:$P$50,2,FALSE)),"CADASTRAR GERENTE"))</f>
        <v>Cleonice</v>
      </c>
      <c r="P31" s="3" t="str">
        <f t="shared" si="1"/>
        <v>yyyy0507-Loja Valparaiso-3927</v>
      </c>
    </row>
    <row r="32" spans="1:16" x14ac:dyDescent="0.25">
      <c r="A32" s="2">
        <v>46149</v>
      </c>
      <c r="B32" s="3" t="s">
        <v>101</v>
      </c>
      <c r="C32" s="3">
        <v>3928</v>
      </c>
      <c r="D32" s="3" t="s">
        <v>114</v>
      </c>
      <c r="E32" s="3" t="s">
        <v>115</v>
      </c>
      <c r="F32" s="3" t="s">
        <v>18</v>
      </c>
      <c r="G32" s="3" t="s">
        <v>18</v>
      </c>
      <c r="H32" s="3" t="s">
        <v>18</v>
      </c>
      <c r="I32" s="3" t="s">
        <v>18</v>
      </c>
      <c r="J32" s="3" t="str">
        <f t="shared" si="2"/>
        <v>SIM</v>
      </c>
      <c r="K32" s="3" t="str">
        <f t="shared" si="0"/>
        <v>OK</v>
      </c>
      <c r="L32" s="11" t="s">
        <v>140</v>
      </c>
      <c r="M32" s="3"/>
      <c r="N32" s="12" t="s">
        <v>84</v>
      </c>
      <c r="O32" s="3" t="str">
        <f>IF(B32="","",IFERROR(IF(VLOOKUP(B32,AUXILIAR!$O$2:$P$50,2,FALSE)="","CADASTRAR GERENTE",VLOOKUP(B32,AUXILIAR!$O$2:$P$50,2,FALSE)),"CADASTRAR GERENTE"))</f>
        <v>Cinthya</v>
      </c>
      <c r="P32" s="3" t="str">
        <f t="shared" si="1"/>
        <v>yyyy0507-Loja Pistão-3928</v>
      </c>
    </row>
    <row r="33" spans="1:16" x14ac:dyDescent="0.25">
      <c r="A33" s="2">
        <v>46149</v>
      </c>
      <c r="B33" s="3" t="s">
        <v>104</v>
      </c>
      <c r="C33" s="3">
        <v>3929</v>
      </c>
      <c r="D33" s="3" t="s">
        <v>135</v>
      </c>
      <c r="E33" s="3" t="s">
        <v>115</v>
      </c>
      <c r="F33" s="3" t="s">
        <v>18</v>
      </c>
      <c r="G33" s="3" t="s">
        <v>18</v>
      </c>
      <c r="H33" s="3" t="s">
        <v>18</v>
      </c>
      <c r="I33" s="3" t="s">
        <v>18</v>
      </c>
      <c r="J33" s="3" t="str">
        <f t="shared" si="2"/>
        <v>SIM</v>
      </c>
      <c r="K33" s="3" t="str">
        <f t="shared" si="0"/>
        <v>OK</v>
      </c>
      <c r="L33" s="11" t="s">
        <v>140</v>
      </c>
      <c r="M33" s="3"/>
      <c r="N33" s="12" t="s">
        <v>84</v>
      </c>
      <c r="O33" s="3" t="str">
        <f>IF(B33="","",IFERROR(IF(VLOOKUP(B33,AUXILIAR!$O$2:$P$50,2,FALSE)="","CADASTRAR GERENTE",VLOOKUP(B33,AUXILIAR!$O$2:$P$50,2,FALSE)),"CADASTRAR GERENTE"))</f>
        <v>Cleonice</v>
      </c>
      <c r="P33" s="3" t="str">
        <f t="shared" si="1"/>
        <v>yyyy0507-Loja Valparaiso-3929</v>
      </c>
    </row>
    <row r="34" spans="1:16" x14ac:dyDescent="0.25">
      <c r="A34" s="2">
        <v>46149</v>
      </c>
      <c r="B34" s="3" t="s">
        <v>101</v>
      </c>
      <c r="C34" s="3">
        <v>3930</v>
      </c>
      <c r="D34" s="3" t="s">
        <v>114</v>
      </c>
      <c r="E34" s="3" t="s">
        <v>115</v>
      </c>
      <c r="F34" s="3" t="s">
        <v>18</v>
      </c>
      <c r="G34" s="3" t="s">
        <v>18</v>
      </c>
      <c r="H34" s="3" t="s">
        <v>18</v>
      </c>
      <c r="I34" s="3" t="s">
        <v>18</v>
      </c>
      <c r="J34" s="3" t="str">
        <f t="shared" si="2"/>
        <v>SIM</v>
      </c>
      <c r="K34" s="3" t="str">
        <f t="shared" si="0"/>
        <v>OK</v>
      </c>
      <c r="L34" s="11" t="s">
        <v>140</v>
      </c>
      <c r="M34" s="3"/>
      <c r="N34" s="12" t="s">
        <v>84</v>
      </c>
      <c r="O34" s="3" t="str">
        <f>IF(B34="","",IFERROR(IF(VLOOKUP(B34,AUXILIAR!$O$2:$P$50,2,FALSE)="","CADASTRAR GERENTE",VLOOKUP(B34,AUXILIAR!$O$2:$P$50,2,FALSE)),"CADASTRAR GERENTE"))</f>
        <v>Cinthya</v>
      </c>
      <c r="P34" s="3" t="str">
        <f t="shared" si="1"/>
        <v>yyyy0507-Loja Pistão-3930</v>
      </c>
    </row>
    <row r="35" spans="1:16" x14ac:dyDescent="0.25">
      <c r="A35" s="2">
        <v>46149</v>
      </c>
      <c r="B35" s="3" t="s">
        <v>101</v>
      </c>
      <c r="C35" s="3">
        <v>3932</v>
      </c>
      <c r="D35" s="3" t="s">
        <v>114</v>
      </c>
      <c r="E35" s="3" t="s">
        <v>115</v>
      </c>
      <c r="F35" s="3" t="s">
        <v>18</v>
      </c>
      <c r="G35" s="3" t="s">
        <v>18</v>
      </c>
      <c r="H35" s="3" t="s">
        <v>18</v>
      </c>
      <c r="I35" s="3" t="s">
        <v>18</v>
      </c>
      <c r="J35" s="3" t="str">
        <f t="shared" si="2"/>
        <v>SIM</v>
      </c>
      <c r="K35" s="3" t="str">
        <f t="shared" si="0"/>
        <v>OK</v>
      </c>
      <c r="L35" s="11" t="s">
        <v>42</v>
      </c>
      <c r="M35" s="3"/>
      <c r="N35" s="12" t="s">
        <v>84</v>
      </c>
      <c r="O35" s="3" t="str">
        <f>IF(B35="","",IFERROR(IF(VLOOKUP(B35,AUXILIAR!$O$2:$P$50,2,FALSE)="","CADASTRAR GERENTE",VLOOKUP(B35,AUXILIAR!$O$2:$P$50,2,FALSE)),"CADASTRAR GERENTE"))</f>
        <v>Cinthya</v>
      </c>
      <c r="P35" s="3" t="str">
        <f t="shared" si="1"/>
        <v>yyyy0507-Loja Pistão-3932</v>
      </c>
    </row>
    <row r="36" spans="1:16" x14ac:dyDescent="0.25">
      <c r="A36" s="2">
        <v>46148</v>
      </c>
      <c r="B36" s="3" t="s">
        <v>106</v>
      </c>
      <c r="C36" s="3">
        <v>3933</v>
      </c>
      <c r="D36" s="3" t="s">
        <v>114</v>
      </c>
      <c r="E36" s="3" t="s">
        <v>115</v>
      </c>
      <c r="F36" s="3" t="s">
        <v>18</v>
      </c>
      <c r="G36" s="3" t="s">
        <v>18</v>
      </c>
      <c r="H36" s="3" t="s">
        <v>18</v>
      </c>
      <c r="I36" s="3" t="s">
        <v>18</v>
      </c>
      <c r="J36" s="3" t="str">
        <f t="shared" si="2"/>
        <v>SIM</v>
      </c>
      <c r="K36" s="3" t="str">
        <f t="shared" si="0"/>
        <v>OK</v>
      </c>
      <c r="L36" s="11" t="s">
        <v>42</v>
      </c>
      <c r="M36" s="3"/>
      <c r="N36" s="12" t="s">
        <v>84</v>
      </c>
      <c r="O36" s="3" t="str">
        <f>IF(B36="","",IFERROR(IF(VLOOKUP(B36,AUXILIAR!$O$2:$P$50,2,FALSE)="","CADASTRAR GERENTE",VLOOKUP(B36,AUXILIAR!$O$2:$P$50,2,FALSE)),"CADASTRAR GERENTE"))</f>
        <v>Danilo</v>
      </c>
      <c r="P36" s="3" t="str">
        <f t="shared" si="1"/>
        <v>yyyy0506-Loja ADE-3933</v>
      </c>
    </row>
    <row r="37" spans="1:16" x14ac:dyDescent="0.25">
      <c r="A37" s="2">
        <v>46149</v>
      </c>
      <c r="B37" s="3" t="s">
        <v>104</v>
      </c>
      <c r="C37" s="3">
        <v>3934</v>
      </c>
      <c r="D37" s="3" t="s">
        <v>135</v>
      </c>
      <c r="E37" s="3" t="s">
        <v>115</v>
      </c>
      <c r="F37" s="3" t="s">
        <v>18</v>
      </c>
      <c r="G37" s="3" t="s">
        <v>18</v>
      </c>
      <c r="H37" s="3" t="s">
        <v>18</v>
      </c>
      <c r="I37" s="3" t="s">
        <v>18</v>
      </c>
      <c r="J37" s="3" t="str">
        <f t="shared" si="2"/>
        <v>SIM</v>
      </c>
      <c r="K37" s="3" t="str">
        <f t="shared" si="0"/>
        <v>OK</v>
      </c>
      <c r="L37" s="11" t="s">
        <v>140</v>
      </c>
      <c r="M37" s="3"/>
      <c r="N37" s="12" t="s">
        <v>84</v>
      </c>
      <c r="O37" s="3" t="str">
        <f>IF(B37="","",IFERROR(IF(VLOOKUP(B37,AUXILIAR!$O$2:$P$50,2,FALSE)="","CADASTRAR GERENTE",VLOOKUP(B37,AUXILIAR!$O$2:$P$50,2,FALSE)),"CADASTRAR GERENTE"))</f>
        <v>Cleonice</v>
      </c>
      <c r="P37" s="3" t="str">
        <f t="shared" si="1"/>
        <v>yyyy0507-Loja Valparaiso-3934</v>
      </c>
    </row>
    <row r="38" spans="1:16" x14ac:dyDescent="0.25">
      <c r="A38" s="2">
        <v>46148</v>
      </c>
      <c r="B38" s="3" t="s">
        <v>106</v>
      </c>
      <c r="C38" s="3">
        <v>3935</v>
      </c>
      <c r="D38" s="3" t="s">
        <v>114</v>
      </c>
      <c r="E38" s="3" t="s">
        <v>115</v>
      </c>
      <c r="F38" s="3" t="s">
        <v>18</v>
      </c>
      <c r="G38" s="3" t="s">
        <v>18</v>
      </c>
      <c r="H38" s="3" t="s">
        <v>18</v>
      </c>
      <c r="I38" s="3" t="s">
        <v>18</v>
      </c>
      <c r="J38" s="3" t="str">
        <f t="shared" si="2"/>
        <v>SIM</v>
      </c>
      <c r="K38" s="3" t="str">
        <f t="shared" si="0"/>
        <v>OK</v>
      </c>
      <c r="L38" s="11" t="s">
        <v>42</v>
      </c>
      <c r="M38" s="3"/>
      <c r="N38" s="12" t="s">
        <v>84</v>
      </c>
      <c r="O38" s="3" t="str">
        <f>IF(B38="","",IFERROR(IF(VLOOKUP(B38,AUXILIAR!$O$2:$P$50,2,FALSE)="","CADASTRAR GERENTE",VLOOKUP(B38,AUXILIAR!$O$2:$P$50,2,FALSE)),"CADASTRAR GERENTE"))</f>
        <v>Danilo</v>
      </c>
      <c r="P38" s="3" t="str">
        <f t="shared" si="1"/>
        <v>yyyy0506-Loja ADE-3935</v>
      </c>
    </row>
    <row r="39" spans="1:16" x14ac:dyDescent="0.25">
      <c r="A39" s="2">
        <v>46149</v>
      </c>
      <c r="B39" s="3" t="s">
        <v>104</v>
      </c>
      <c r="C39" s="3">
        <v>3936</v>
      </c>
      <c r="D39" s="3" t="s">
        <v>135</v>
      </c>
      <c r="E39" s="3" t="s">
        <v>115</v>
      </c>
      <c r="F39" s="3" t="s">
        <v>18</v>
      </c>
      <c r="G39" s="3" t="s">
        <v>18</v>
      </c>
      <c r="H39" s="3" t="s">
        <v>18</v>
      </c>
      <c r="I39" s="3" t="s">
        <v>18</v>
      </c>
      <c r="J39" s="3" t="str">
        <f t="shared" si="2"/>
        <v>SIM</v>
      </c>
      <c r="K39" s="3" t="str">
        <f t="shared" si="0"/>
        <v>OK</v>
      </c>
      <c r="L39" s="11" t="s">
        <v>140</v>
      </c>
      <c r="M39" s="3"/>
      <c r="N39" s="12" t="s">
        <v>84</v>
      </c>
      <c r="O39" s="3" t="str">
        <f>IF(B39="","",IFERROR(IF(VLOOKUP(B39,AUXILIAR!$O$2:$P$50,2,FALSE)="","CADASTRAR GERENTE",VLOOKUP(B39,AUXILIAR!$O$2:$P$50,2,FALSE)),"CADASTRAR GERENTE"))</f>
        <v>Cleonice</v>
      </c>
      <c r="P39" s="3" t="str">
        <f t="shared" si="1"/>
        <v>yyyy0507-Loja Valparaiso-3936</v>
      </c>
    </row>
    <row r="40" spans="1:16" x14ac:dyDescent="0.25">
      <c r="A40" s="2">
        <v>46149</v>
      </c>
      <c r="B40" s="3" t="s">
        <v>104</v>
      </c>
      <c r="C40" s="3">
        <v>3937</v>
      </c>
      <c r="D40" s="3" t="s">
        <v>135</v>
      </c>
      <c r="E40" s="3" t="s">
        <v>115</v>
      </c>
      <c r="F40" s="3" t="s">
        <v>18</v>
      </c>
      <c r="G40" s="3" t="s">
        <v>18</v>
      </c>
      <c r="H40" s="3" t="s">
        <v>18</v>
      </c>
      <c r="I40" s="3" t="s">
        <v>18</v>
      </c>
      <c r="J40" s="3" t="str">
        <f t="shared" si="2"/>
        <v>SIM</v>
      </c>
      <c r="K40" s="3" t="str">
        <f t="shared" si="0"/>
        <v>OK</v>
      </c>
      <c r="L40" s="11" t="s">
        <v>140</v>
      </c>
      <c r="M40" s="3"/>
      <c r="N40" s="12" t="s">
        <v>84</v>
      </c>
      <c r="O40" s="3" t="str">
        <f>IF(B40="","",IFERROR(IF(VLOOKUP(B40,AUXILIAR!$O$2:$P$50,2,FALSE)="","CADASTRAR GERENTE",VLOOKUP(B40,AUXILIAR!$O$2:$P$50,2,FALSE)),"CADASTRAR GERENTE"))</f>
        <v>Cleonice</v>
      </c>
      <c r="P40" s="3" t="str">
        <f t="shared" si="1"/>
        <v>yyyy0507-Loja Valparaiso-3937</v>
      </c>
    </row>
    <row r="41" spans="1:16" x14ac:dyDescent="0.25">
      <c r="A41" s="2">
        <v>46149</v>
      </c>
      <c r="B41" s="3" t="s">
        <v>104</v>
      </c>
      <c r="C41" s="3">
        <v>3938</v>
      </c>
      <c r="D41" s="3" t="s">
        <v>135</v>
      </c>
      <c r="E41" s="3" t="s">
        <v>115</v>
      </c>
      <c r="F41" s="3" t="s">
        <v>18</v>
      </c>
      <c r="G41" s="3" t="s">
        <v>18</v>
      </c>
      <c r="H41" s="3" t="s">
        <v>18</v>
      </c>
      <c r="I41" s="3" t="s">
        <v>18</v>
      </c>
      <c r="J41" s="3" t="str">
        <f t="shared" si="2"/>
        <v>SIM</v>
      </c>
      <c r="K41" s="3" t="str">
        <f t="shared" si="0"/>
        <v>OK</v>
      </c>
      <c r="L41" s="11" t="s">
        <v>140</v>
      </c>
      <c r="M41" s="3"/>
      <c r="N41" s="12" t="s">
        <v>84</v>
      </c>
      <c r="O41" s="3" t="str">
        <f>IF(B41="","",IFERROR(IF(VLOOKUP(B41,AUXILIAR!$O$2:$P$50,2,FALSE)="","CADASTRAR GERENTE",VLOOKUP(B41,AUXILIAR!$O$2:$P$50,2,FALSE)),"CADASTRAR GERENTE"))</f>
        <v>Cleonice</v>
      </c>
      <c r="P41" s="3" t="str">
        <f t="shared" si="1"/>
        <v>yyyy0507-Loja Valparaiso-3938</v>
      </c>
    </row>
    <row r="42" spans="1:16" x14ac:dyDescent="0.25">
      <c r="A42" s="2">
        <v>46149</v>
      </c>
      <c r="B42" s="3" t="s">
        <v>104</v>
      </c>
      <c r="C42" s="3">
        <v>3939</v>
      </c>
      <c r="D42" s="3" t="s">
        <v>135</v>
      </c>
      <c r="E42" s="3" t="s">
        <v>115</v>
      </c>
      <c r="F42" s="3" t="s">
        <v>18</v>
      </c>
      <c r="G42" s="3" t="s">
        <v>18</v>
      </c>
      <c r="H42" s="3" t="s">
        <v>18</v>
      </c>
      <c r="I42" s="3" t="s">
        <v>18</v>
      </c>
      <c r="J42" s="3" t="str">
        <f t="shared" si="2"/>
        <v>SIM</v>
      </c>
      <c r="K42" s="3" t="str">
        <f t="shared" si="0"/>
        <v>OK</v>
      </c>
      <c r="L42" s="11" t="s">
        <v>140</v>
      </c>
      <c r="M42" s="3"/>
      <c r="N42" s="12" t="s">
        <v>84</v>
      </c>
      <c r="O42" s="3" t="str">
        <f>IF(B42="","",IFERROR(IF(VLOOKUP(B42,AUXILIAR!$O$2:$P$50,2,FALSE)="","CADASTRAR GERENTE",VLOOKUP(B42,AUXILIAR!$O$2:$P$50,2,FALSE)),"CADASTRAR GERENTE"))</f>
        <v>Cleonice</v>
      </c>
      <c r="P42" s="3" t="str">
        <f t="shared" si="1"/>
        <v>yyyy0507-Loja Valparaiso-3939</v>
      </c>
    </row>
    <row r="43" spans="1:16" x14ac:dyDescent="0.25">
      <c r="A43" s="2">
        <v>46149</v>
      </c>
      <c r="B43" s="3" t="s">
        <v>101</v>
      </c>
      <c r="C43" s="3">
        <v>3940</v>
      </c>
      <c r="D43" s="3" t="s">
        <v>114</v>
      </c>
      <c r="E43" s="3" t="s">
        <v>115</v>
      </c>
      <c r="F43" s="3" t="s">
        <v>18</v>
      </c>
      <c r="G43" s="3" t="s">
        <v>18</v>
      </c>
      <c r="H43" s="3" t="s">
        <v>18</v>
      </c>
      <c r="I43" s="3" t="s">
        <v>18</v>
      </c>
      <c r="J43" s="3" t="str">
        <f t="shared" si="2"/>
        <v>SIM</v>
      </c>
      <c r="K43" s="3" t="str">
        <f t="shared" si="0"/>
        <v>OK</v>
      </c>
      <c r="L43" s="11" t="s">
        <v>42</v>
      </c>
      <c r="M43" s="3"/>
      <c r="N43" s="12" t="s">
        <v>84</v>
      </c>
      <c r="O43" s="3" t="str">
        <f>IF(B43="","",IFERROR(IF(VLOOKUP(B43,AUXILIAR!$O$2:$P$50,2,FALSE)="","CADASTRAR GERENTE",VLOOKUP(B43,AUXILIAR!$O$2:$P$50,2,FALSE)),"CADASTRAR GERENTE"))</f>
        <v>Cinthya</v>
      </c>
      <c r="P43" s="3" t="str">
        <f t="shared" si="1"/>
        <v>yyyy0507-Loja Pistão-3940</v>
      </c>
    </row>
    <row r="44" spans="1:16" x14ac:dyDescent="0.25">
      <c r="A44" s="2">
        <v>46149</v>
      </c>
      <c r="B44" s="3" t="s">
        <v>101</v>
      </c>
      <c r="C44" s="3">
        <v>3941</v>
      </c>
      <c r="D44" s="3" t="s">
        <v>114</v>
      </c>
      <c r="E44" s="3" t="s">
        <v>115</v>
      </c>
      <c r="F44" s="3" t="s">
        <v>18</v>
      </c>
      <c r="G44" s="3" t="s">
        <v>18</v>
      </c>
      <c r="H44" s="3" t="s">
        <v>18</v>
      </c>
      <c r="I44" s="3" t="s">
        <v>18</v>
      </c>
      <c r="J44" s="3" t="str">
        <f t="shared" si="2"/>
        <v>SIM</v>
      </c>
      <c r="K44" s="3" t="str">
        <f t="shared" si="0"/>
        <v>OK</v>
      </c>
      <c r="L44" s="11" t="s">
        <v>140</v>
      </c>
      <c r="M44" s="3"/>
      <c r="N44" s="12" t="s">
        <v>84</v>
      </c>
      <c r="O44" s="3" t="str">
        <f>IF(B44="","",IFERROR(IF(VLOOKUP(B44,AUXILIAR!$O$2:$P$50,2,FALSE)="","CADASTRAR GERENTE",VLOOKUP(B44,AUXILIAR!$O$2:$P$50,2,FALSE)),"CADASTRAR GERENTE"))</f>
        <v>Cinthya</v>
      </c>
      <c r="P44" s="3" t="str">
        <f t="shared" si="1"/>
        <v>yyyy0507-Loja Pistão-3941</v>
      </c>
    </row>
    <row r="45" spans="1:16" x14ac:dyDescent="0.25">
      <c r="A45" s="2">
        <v>46148</v>
      </c>
      <c r="B45" s="3" t="s">
        <v>106</v>
      </c>
      <c r="C45" s="3">
        <v>3945</v>
      </c>
      <c r="D45" s="3" t="s">
        <v>114</v>
      </c>
      <c r="E45" s="3" t="s">
        <v>115</v>
      </c>
      <c r="F45" s="3" t="s">
        <v>18</v>
      </c>
      <c r="G45" s="3" t="s">
        <v>18</v>
      </c>
      <c r="H45" s="3" t="s">
        <v>18</v>
      </c>
      <c r="I45" s="3" t="s">
        <v>18</v>
      </c>
      <c r="J45" s="3" t="str">
        <f t="shared" si="2"/>
        <v>SIM</v>
      </c>
      <c r="K45" s="3" t="str">
        <f t="shared" si="0"/>
        <v>OK</v>
      </c>
      <c r="L45" s="11" t="s">
        <v>42</v>
      </c>
      <c r="M45" s="3"/>
      <c r="N45" s="12" t="s">
        <v>84</v>
      </c>
      <c r="O45" s="3" t="str">
        <f>IF(B45="","",IFERROR(IF(VLOOKUP(B45,AUXILIAR!$O$2:$P$50,2,FALSE)="","CADASTRAR GERENTE",VLOOKUP(B45,AUXILIAR!$O$2:$P$50,2,FALSE)),"CADASTRAR GERENTE"))</f>
        <v>Danilo</v>
      </c>
      <c r="P45" s="3" t="str">
        <f t="shared" si="1"/>
        <v>yyyy0506-Loja ADE-3945</v>
      </c>
    </row>
    <row r="46" spans="1:16" x14ac:dyDescent="0.25">
      <c r="A46" s="2">
        <v>46148</v>
      </c>
      <c r="B46" s="3" t="s">
        <v>106</v>
      </c>
      <c r="C46" s="3">
        <v>3946</v>
      </c>
      <c r="D46" s="3" t="s">
        <v>114</v>
      </c>
      <c r="E46" s="3" t="s">
        <v>115</v>
      </c>
      <c r="F46" s="3" t="s">
        <v>18</v>
      </c>
      <c r="G46" s="3" t="s">
        <v>18</v>
      </c>
      <c r="H46" s="3" t="s">
        <v>18</v>
      </c>
      <c r="I46" s="3" t="s">
        <v>18</v>
      </c>
      <c r="J46" s="3" t="str">
        <f t="shared" si="2"/>
        <v>SIM</v>
      </c>
      <c r="K46" s="3" t="str">
        <f t="shared" si="0"/>
        <v>OK</v>
      </c>
      <c r="L46" s="11" t="s">
        <v>140</v>
      </c>
      <c r="M46" s="3"/>
      <c r="N46" s="12" t="s">
        <v>84</v>
      </c>
      <c r="O46" s="3" t="str">
        <f>IF(B46="","",IFERROR(IF(VLOOKUP(B46,AUXILIAR!$O$2:$P$50,2,FALSE)="","CADASTRAR GERENTE",VLOOKUP(B46,AUXILIAR!$O$2:$P$50,2,FALSE)),"CADASTRAR GERENTE"))</f>
        <v>Danilo</v>
      </c>
      <c r="P46" s="3" t="str">
        <f t="shared" si="1"/>
        <v>yyyy0506-Loja ADE-3946</v>
      </c>
    </row>
    <row r="47" spans="1:16" x14ac:dyDescent="0.25">
      <c r="A47" s="2">
        <v>46149</v>
      </c>
      <c r="B47" s="3" t="s">
        <v>101</v>
      </c>
      <c r="C47" s="3">
        <v>3947</v>
      </c>
      <c r="D47" s="3" t="s">
        <v>114</v>
      </c>
      <c r="E47" s="3" t="s">
        <v>115</v>
      </c>
      <c r="F47" s="3" t="s">
        <v>18</v>
      </c>
      <c r="G47" s="3" t="s">
        <v>18</v>
      </c>
      <c r="H47" s="3" t="s">
        <v>18</v>
      </c>
      <c r="I47" s="3" t="s">
        <v>18</v>
      </c>
      <c r="J47" s="3" t="str">
        <f t="shared" si="2"/>
        <v>SIM</v>
      </c>
      <c r="K47" s="3" t="str">
        <f t="shared" si="0"/>
        <v>OK</v>
      </c>
      <c r="L47" s="11" t="s">
        <v>140</v>
      </c>
      <c r="M47" s="3"/>
      <c r="N47" s="12" t="s">
        <v>84</v>
      </c>
      <c r="O47" s="3" t="str">
        <f>IF(B47="","",IFERROR(IF(VLOOKUP(B47,AUXILIAR!$O$2:$P$50,2,FALSE)="","CADASTRAR GERENTE",VLOOKUP(B47,AUXILIAR!$O$2:$P$50,2,FALSE)),"CADASTRAR GERENTE"))</f>
        <v>Cinthya</v>
      </c>
      <c r="P47" s="3" t="str">
        <f t="shared" si="1"/>
        <v>yyyy0507-Loja Pistão-3947</v>
      </c>
    </row>
    <row r="48" spans="1:16" x14ac:dyDescent="0.25">
      <c r="A48" s="2">
        <v>46149</v>
      </c>
      <c r="B48" s="3" t="s">
        <v>101</v>
      </c>
      <c r="C48" s="3">
        <v>3948</v>
      </c>
      <c r="D48" s="3" t="s">
        <v>114</v>
      </c>
      <c r="E48" s="3" t="s">
        <v>115</v>
      </c>
      <c r="F48" s="3" t="s">
        <v>18</v>
      </c>
      <c r="G48" s="3" t="s">
        <v>18</v>
      </c>
      <c r="H48" s="3" t="s">
        <v>18</v>
      </c>
      <c r="I48" s="3" t="s">
        <v>18</v>
      </c>
      <c r="J48" s="3" t="str">
        <f t="shared" si="2"/>
        <v>SIM</v>
      </c>
      <c r="K48" s="3" t="str">
        <f t="shared" si="0"/>
        <v>OK</v>
      </c>
      <c r="L48" s="11" t="s">
        <v>42</v>
      </c>
      <c r="M48" s="3"/>
      <c r="N48" s="12" t="s">
        <v>84</v>
      </c>
      <c r="O48" s="3" t="str">
        <f>IF(B48="","",IFERROR(IF(VLOOKUP(B48,AUXILIAR!$O$2:$P$50,2,FALSE)="","CADASTRAR GERENTE",VLOOKUP(B48,AUXILIAR!$O$2:$P$50,2,FALSE)),"CADASTRAR GERENTE"))</f>
        <v>Cinthya</v>
      </c>
      <c r="P48" s="3" t="str">
        <f t="shared" si="1"/>
        <v>yyyy0507-Loja Pistão-3948</v>
      </c>
    </row>
    <row r="49" spans="1:16" x14ac:dyDescent="0.25">
      <c r="A49" s="2">
        <v>46148</v>
      </c>
      <c r="B49" s="3" t="s">
        <v>106</v>
      </c>
      <c r="C49" s="3">
        <v>3949</v>
      </c>
      <c r="D49" s="3" t="s">
        <v>114</v>
      </c>
      <c r="E49" s="3" t="s">
        <v>115</v>
      </c>
      <c r="F49" s="3" t="s">
        <v>18</v>
      </c>
      <c r="G49" s="3" t="s">
        <v>18</v>
      </c>
      <c r="H49" s="3" t="s">
        <v>18</v>
      </c>
      <c r="I49" s="3" t="s">
        <v>18</v>
      </c>
      <c r="J49" s="3" t="str">
        <f t="shared" si="2"/>
        <v>SIM</v>
      </c>
      <c r="K49" s="3" t="str">
        <f t="shared" si="0"/>
        <v>OK</v>
      </c>
      <c r="L49" s="11" t="s">
        <v>42</v>
      </c>
      <c r="M49" s="3"/>
      <c r="N49" s="12" t="s">
        <v>84</v>
      </c>
      <c r="O49" s="3" t="str">
        <f>IF(B49="","",IFERROR(IF(VLOOKUP(B49,AUXILIAR!$O$2:$P$50,2,FALSE)="","CADASTRAR GERENTE",VLOOKUP(B49,AUXILIAR!$O$2:$P$50,2,FALSE)),"CADASTRAR GERENTE"))</f>
        <v>Danilo</v>
      </c>
      <c r="P49" s="3" t="str">
        <f t="shared" si="1"/>
        <v>yyyy0506-Loja ADE-3949</v>
      </c>
    </row>
    <row r="50" spans="1:16" x14ac:dyDescent="0.25">
      <c r="A50" s="2">
        <v>46148</v>
      </c>
      <c r="B50" s="3" t="s">
        <v>106</v>
      </c>
      <c r="C50" s="3">
        <v>3950</v>
      </c>
      <c r="D50" s="3" t="s">
        <v>114</v>
      </c>
      <c r="E50" s="3" t="s">
        <v>115</v>
      </c>
      <c r="F50" s="3" t="s">
        <v>18</v>
      </c>
      <c r="G50" s="3" t="s">
        <v>18</v>
      </c>
      <c r="H50" s="3" t="s">
        <v>18</v>
      </c>
      <c r="I50" s="3" t="s">
        <v>18</v>
      </c>
      <c r="J50" s="3" t="str">
        <f t="shared" si="2"/>
        <v>SIM</v>
      </c>
      <c r="K50" s="3" t="str">
        <f t="shared" si="0"/>
        <v>OK</v>
      </c>
      <c r="L50" s="11" t="s">
        <v>42</v>
      </c>
      <c r="M50" s="3"/>
      <c r="N50" s="12" t="s">
        <v>84</v>
      </c>
      <c r="O50" s="3" t="str">
        <f>IF(B50="","",IFERROR(IF(VLOOKUP(B50,AUXILIAR!$O$2:$P$50,2,FALSE)="","CADASTRAR GERENTE",VLOOKUP(B50,AUXILIAR!$O$2:$P$50,2,FALSE)),"CADASTRAR GERENTE"))</f>
        <v>Danilo</v>
      </c>
      <c r="P50" s="3" t="str">
        <f t="shared" si="1"/>
        <v>yyyy0506-Loja ADE-3950</v>
      </c>
    </row>
    <row r="51" spans="1:16" x14ac:dyDescent="0.25">
      <c r="A51" s="2">
        <v>46150</v>
      </c>
      <c r="B51" s="3" t="s">
        <v>102</v>
      </c>
      <c r="C51" s="3">
        <v>3951</v>
      </c>
      <c r="D51" s="3" t="s">
        <v>124</v>
      </c>
      <c r="E51" s="3" t="s">
        <v>115</v>
      </c>
      <c r="F51" s="3" t="s">
        <v>19</v>
      </c>
      <c r="G51" s="3" t="s">
        <v>19</v>
      </c>
      <c r="H51" s="3" t="s">
        <v>19</v>
      </c>
      <c r="I51" s="3" t="s">
        <v>18</v>
      </c>
      <c r="J51" s="3" t="str">
        <f t="shared" si="2"/>
        <v>NÃO</v>
      </c>
      <c r="K51" s="3" t="str">
        <f t="shared" si="0"/>
        <v>NOK</v>
      </c>
      <c r="L51" s="11" t="s">
        <v>57</v>
      </c>
      <c r="M51" s="3" t="s">
        <v>136</v>
      </c>
      <c r="N51" s="12" t="s">
        <v>84</v>
      </c>
      <c r="O51" s="3" t="str">
        <f>IF(B51="","",IFERROR(IF(VLOOKUP(B51,AUXILIAR!$O$2:$P$50,2,FALSE)="","CADASTRAR GERENTE",VLOOKUP(B51,AUXILIAR!$O$2:$P$50,2,FALSE)),"CADASTRAR GERENTE"))</f>
        <v>Neudo</v>
      </c>
      <c r="P51" s="3" t="str">
        <f t="shared" si="1"/>
        <v>yyyy0508-Loja Asa Norte-3951</v>
      </c>
    </row>
    <row r="52" spans="1:16" x14ac:dyDescent="0.25">
      <c r="A52" s="2">
        <v>46148</v>
      </c>
      <c r="B52" s="3" t="s">
        <v>106</v>
      </c>
      <c r="C52" s="3">
        <v>3954</v>
      </c>
      <c r="D52" s="3" t="s">
        <v>114</v>
      </c>
      <c r="E52" s="3" t="s">
        <v>115</v>
      </c>
      <c r="F52" s="3" t="s">
        <v>18</v>
      </c>
      <c r="G52" s="3" t="s">
        <v>18</v>
      </c>
      <c r="H52" s="3" t="s">
        <v>18</v>
      </c>
      <c r="I52" s="3" t="s">
        <v>18</v>
      </c>
      <c r="J52" s="3" t="str">
        <f t="shared" si="2"/>
        <v>SIM</v>
      </c>
      <c r="K52" s="3" t="str">
        <f t="shared" si="0"/>
        <v>OK</v>
      </c>
      <c r="L52" s="11" t="s">
        <v>42</v>
      </c>
      <c r="M52" s="3"/>
      <c r="N52" s="12" t="s">
        <v>84</v>
      </c>
      <c r="O52" s="3" t="str">
        <f>IF(B52="","",IFERROR(IF(VLOOKUP(B52,AUXILIAR!$O$2:$P$50,2,FALSE)="","CADASTRAR GERENTE",VLOOKUP(B52,AUXILIAR!$O$2:$P$50,2,FALSE)),"CADASTRAR GERENTE"))</f>
        <v>Danilo</v>
      </c>
      <c r="P52" s="3" t="str">
        <f t="shared" si="1"/>
        <v>yyyy0506-Loja ADE-3954</v>
      </c>
    </row>
    <row r="53" spans="1:16" x14ac:dyDescent="0.25">
      <c r="A53" s="2">
        <v>46149</v>
      </c>
      <c r="B53" s="3" t="s">
        <v>101</v>
      </c>
      <c r="C53" s="3">
        <v>3955</v>
      </c>
      <c r="D53" s="3" t="s">
        <v>114</v>
      </c>
      <c r="E53" s="3" t="s">
        <v>115</v>
      </c>
      <c r="F53" s="3" t="s">
        <v>18</v>
      </c>
      <c r="G53" s="3" t="s">
        <v>19</v>
      </c>
      <c r="H53" s="3" t="s">
        <v>18</v>
      </c>
      <c r="I53" s="3" t="s">
        <v>18</v>
      </c>
      <c r="J53" s="3" t="str">
        <f t="shared" si="2"/>
        <v>NÃO</v>
      </c>
      <c r="K53" s="3" t="str">
        <f t="shared" si="0"/>
        <v>NOK</v>
      </c>
      <c r="L53" s="11" t="s">
        <v>142</v>
      </c>
      <c r="M53" s="3" t="s">
        <v>133</v>
      </c>
      <c r="N53" s="12" t="s">
        <v>84</v>
      </c>
      <c r="O53" s="3" t="str">
        <f>IF(B53="","",IFERROR(IF(VLOOKUP(B53,AUXILIAR!$O$2:$P$50,2,FALSE)="","CADASTRAR GERENTE",VLOOKUP(B53,AUXILIAR!$O$2:$P$50,2,FALSE)),"CADASTRAR GERENTE"))</f>
        <v>Cinthya</v>
      </c>
      <c r="P53" s="3" t="str">
        <f t="shared" si="1"/>
        <v>yyyy0507-Loja Pistão-3955</v>
      </c>
    </row>
    <row r="54" spans="1:16" x14ac:dyDescent="0.25">
      <c r="A54" s="2">
        <v>46149</v>
      </c>
      <c r="B54" s="3" t="s">
        <v>101</v>
      </c>
      <c r="C54" s="3">
        <v>3958</v>
      </c>
      <c r="D54" s="3" t="s">
        <v>114</v>
      </c>
      <c r="E54" s="3" t="s">
        <v>115</v>
      </c>
      <c r="F54" s="3" t="s">
        <v>18</v>
      </c>
      <c r="G54" s="3" t="s">
        <v>18</v>
      </c>
      <c r="H54" s="3" t="s">
        <v>18</v>
      </c>
      <c r="I54" s="3" t="s">
        <v>18</v>
      </c>
      <c r="J54" s="3" t="str">
        <f t="shared" si="2"/>
        <v>SIM</v>
      </c>
      <c r="K54" s="3" t="str">
        <f t="shared" si="0"/>
        <v>OK</v>
      </c>
      <c r="L54" s="11" t="s">
        <v>42</v>
      </c>
      <c r="M54" s="3"/>
      <c r="N54" s="12" t="s">
        <v>84</v>
      </c>
      <c r="O54" s="3" t="str">
        <f>IF(B54="","",IFERROR(IF(VLOOKUP(B54,AUXILIAR!$O$2:$P$50,2,FALSE)="","CADASTRAR GERENTE",VLOOKUP(B54,AUXILIAR!$O$2:$P$50,2,FALSE)),"CADASTRAR GERENTE"))</f>
        <v>Cinthya</v>
      </c>
      <c r="P54" s="3" t="str">
        <f t="shared" si="1"/>
        <v>yyyy0507-Loja Pistão-3958</v>
      </c>
    </row>
    <row r="55" spans="1:16" x14ac:dyDescent="0.25">
      <c r="A55" s="2">
        <v>46149</v>
      </c>
      <c r="B55" s="3" t="s">
        <v>106</v>
      </c>
      <c r="C55" s="3">
        <v>3959</v>
      </c>
      <c r="D55" s="3" t="s">
        <v>114</v>
      </c>
      <c r="E55" s="3" t="s">
        <v>115</v>
      </c>
      <c r="F55" s="3" t="s">
        <v>18</v>
      </c>
      <c r="G55" s="3" t="s">
        <v>18</v>
      </c>
      <c r="H55" s="3" t="s">
        <v>18</v>
      </c>
      <c r="I55" s="3" t="s">
        <v>18</v>
      </c>
      <c r="J55" s="3" t="str">
        <f t="shared" si="2"/>
        <v>SIM</v>
      </c>
      <c r="K55" s="3" t="str">
        <f t="shared" si="0"/>
        <v>OK</v>
      </c>
      <c r="L55" s="11" t="s">
        <v>42</v>
      </c>
      <c r="M55" s="3"/>
      <c r="N55" s="12" t="s">
        <v>84</v>
      </c>
      <c r="O55" s="3" t="str">
        <f>IF(B55="","",IFERROR(IF(VLOOKUP(B55,AUXILIAR!$O$2:$P$50,2,FALSE)="","CADASTRAR GERENTE",VLOOKUP(B55,AUXILIAR!$O$2:$P$50,2,FALSE)),"CADASTRAR GERENTE"))</f>
        <v>Danilo</v>
      </c>
      <c r="P55" s="3" t="str">
        <f t="shared" si="1"/>
        <v>yyyy0507-Loja ADE-3959</v>
      </c>
    </row>
    <row r="56" spans="1:16" x14ac:dyDescent="0.25">
      <c r="A56" s="2">
        <v>46149</v>
      </c>
      <c r="B56" s="3" t="s">
        <v>104</v>
      </c>
      <c r="C56" s="3">
        <v>3960</v>
      </c>
      <c r="D56" s="3" t="s">
        <v>135</v>
      </c>
      <c r="E56" s="3" t="s">
        <v>115</v>
      </c>
      <c r="F56" s="3" t="s">
        <v>19</v>
      </c>
      <c r="G56" s="3" t="s">
        <v>19</v>
      </c>
      <c r="H56" s="3" t="s">
        <v>19</v>
      </c>
      <c r="I56" s="3" t="s">
        <v>18</v>
      </c>
      <c r="J56" s="3" t="str">
        <f t="shared" si="2"/>
        <v>NÃO</v>
      </c>
      <c r="K56" s="3" t="str">
        <f t="shared" si="0"/>
        <v>NOK</v>
      </c>
      <c r="L56" s="11" t="s">
        <v>57</v>
      </c>
      <c r="M56" s="3" t="s">
        <v>136</v>
      </c>
      <c r="N56" s="12" t="s">
        <v>84</v>
      </c>
      <c r="O56" s="3" t="str">
        <f>IF(B56="","",IFERROR(IF(VLOOKUP(B56,AUXILIAR!$O$2:$P$50,2,FALSE)="","CADASTRAR GERENTE",VLOOKUP(B56,AUXILIAR!$O$2:$P$50,2,FALSE)),"CADASTRAR GERENTE"))</f>
        <v>Cleonice</v>
      </c>
      <c r="P56" s="3" t="str">
        <f t="shared" si="1"/>
        <v>yyyy0507-Loja Valparaiso-3960</v>
      </c>
    </row>
    <row r="57" spans="1:16" x14ac:dyDescent="0.25">
      <c r="A57" s="2">
        <v>46149</v>
      </c>
      <c r="B57" s="3" t="s">
        <v>106</v>
      </c>
      <c r="C57" s="3">
        <v>3961</v>
      </c>
      <c r="D57" s="3" t="s">
        <v>114</v>
      </c>
      <c r="E57" s="3" t="s">
        <v>115</v>
      </c>
      <c r="F57" s="3" t="s">
        <v>18</v>
      </c>
      <c r="G57" s="3" t="s">
        <v>18</v>
      </c>
      <c r="H57" s="3" t="s">
        <v>18</v>
      </c>
      <c r="I57" s="3" t="s">
        <v>18</v>
      </c>
      <c r="J57" s="3" t="str">
        <f t="shared" si="2"/>
        <v>SIM</v>
      </c>
      <c r="K57" s="3" t="str">
        <f t="shared" si="0"/>
        <v>OK</v>
      </c>
      <c r="L57" s="11" t="s">
        <v>42</v>
      </c>
      <c r="M57" s="3"/>
      <c r="N57" s="12" t="s">
        <v>84</v>
      </c>
      <c r="O57" s="3" t="str">
        <f>IF(B57="","",IFERROR(IF(VLOOKUP(B57,AUXILIAR!$O$2:$P$50,2,FALSE)="","CADASTRAR GERENTE",VLOOKUP(B57,AUXILIAR!$O$2:$P$50,2,FALSE)),"CADASTRAR GERENTE"))</f>
        <v>Danilo</v>
      </c>
      <c r="P57" s="3" t="str">
        <f t="shared" si="1"/>
        <v>yyyy0507-Loja ADE-3961</v>
      </c>
    </row>
    <row r="58" spans="1:16" x14ac:dyDescent="0.25">
      <c r="A58" s="2">
        <v>46149</v>
      </c>
      <c r="B58" s="3" t="s">
        <v>104</v>
      </c>
      <c r="C58" s="3">
        <v>3962</v>
      </c>
      <c r="D58" s="3" t="s">
        <v>135</v>
      </c>
      <c r="E58" s="3" t="s">
        <v>115</v>
      </c>
      <c r="F58" s="3" t="s">
        <v>19</v>
      </c>
      <c r="G58" s="3" t="s">
        <v>19</v>
      </c>
      <c r="H58" s="3" t="s">
        <v>19</v>
      </c>
      <c r="I58" s="3" t="s">
        <v>18</v>
      </c>
      <c r="J58" s="3" t="str">
        <f t="shared" si="2"/>
        <v>NÃO</v>
      </c>
      <c r="K58" s="3" t="str">
        <f t="shared" si="0"/>
        <v>NOK</v>
      </c>
      <c r="L58" s="11" t="s">
        <v>57</v>
      </c>
      <c r="M58" s="3" t="s">
        <v>136</v>
      </c>
      <c r="N58" s="12" t="s">
        <v>84</v>
      </c>
      <c r="O58" s="3" t="str">
        <f>IF(B58="","",IFERROR(IF(VLOOKUP(B58,AUXILIAR!$O$2:$P$50,2,FALSE)="","CADASTRAR GERENTE",VLOOKUP(B58,AUXILIAR!$O$2:$P$50,2,FALSE)),"CADASTRAR GERENTE"))</f>
        <v>Cleonice</v>
      </c>
      <c r="P58" s="3" t="str">
        <f t="shared" si="1"/>
        <v>yyyy0507-Loja Valparaiso-3962</v>
      </c>
    </row>
    <row r="59" spans="1:16" x14ac:dyDescent="0.25">
      <c r="A59" s="2">
        <v>46149</v>
      </c>
      <c r="B59" s="3" t="s">
        <v>104</v>
      </c>
      <c r="C59" s="3">
        <v>3963</v>
      </c>
      <c r="D59" s="3" t="s">
        <v>135</v>
      </c>
      <c r="E59" s="3" t="s">
        <v>115</v>
      </c>
      <c r="F59" s="3" t="s">
        <v>19</v>
      </c>
      <c r="G59" s="3" t="s">
        <v>19</v>
      </c>
      <c r="H59" s="3" t="s">
        <v>19</v>
      </c>
      <c r="I59" s="3" t="s">
        <v>18</v>
      </c>
      <c r="J59" s="3" t="str">
        <f t="shared" si="2"/>
        <v>NÃO</v>
      </c>
      <c r="K59" s="3" t="str">
        <f t="shared" si="0"/>
        <v>NOK</v>
      </c>
      <c r="L59" s="11" t="s">
        <v>57</v>
      </c>
      <c r="M59" s="3" t="s">
        <v>136</v>
      </c>
      <c r="N59" s="12" t="s">
        <v>84</v>
      </c>
      <c r="O59" s="3" t="str">
        <f>IF(B59="","",IFERROR(IF(VLOOKUP(B59,AUXILIAR!$O$2:$P$50,2,FALSE)="","CADASTRAR GERENTE",VLOOKUP(B59,AUXILIAR!$O$2:$P$50,2,FALSE)),"CADASTRAR GERENTE"))</f>
        <v>Cleonice</v>
      </c>
      <c r="P59" s="3" t="str">
        <f t="shared" si="1"/>
        <v>yyyy0507-Loja Valparaiso-3963</v>
      </c>
    </row>
    <row r="60" spans="1:16" x14ac:dyDescent="0.25">
      <c r="A60" s="2">
        <v>46149</v>
      </c>
      <c r="B60" s="3" t="s">
        <v>104</v>
      </c>
      <c r="C60" s="3">
        <v>3964</v>
      </c>
      <c r="D60" s="3" t="s">
        <v>135</v>
      </c>
      <c r="E60" s="3" t="s">
        <v>115</v>
      </c>
      <c r="F60" s="3" t="s">
        <v>19</v>
      </c>
      <c r="G60" s="3" t="s">
        <v>19</v>
      </c>
      <c r="H60" s="3" t="s">
        <v>19</v>
      </c>
      <c r="I60" s="3" t="s">
        <v>18</v>
      </c>
      <c r="J60" s="3" t="str">
        <f t="shared" si="2"/>
        <v>NÃO</v>
      </c>
      <c r="K60" s="3" t="str">
        <f t="shared" si="0"/>
        <v>NOK</v>
      </c>
      <c r="L60" s="11" t="s">
        <v>57</v>
      </c>
      <c r="M60" s="3" t="s">
        <v>136</v>
      </c>
      <c r="N60" s="12" t="s">
        <v>84</v>
      </c>
      <c r="O60" s="3" t="str">
        <f>IF(B60="","",IFERROR(IF(VLOOKUP(B60,AUXILIAR!$O$2:$P$50,2,FALSE)="","CADASTRAR GERENTE",VLOOKUP(B60,AUXILIAR!$O$2:$P$50,2,FALSE)),"CADASTRAR GERENTE"))</f>
        <v>Cleonice</v>
      </c>
      <c r="P60" s="3" t="str">
        <f t="shared" si="1"/>
        <v>yyyy0507-Loja Valparaiso-3964</v>
      </c>
    </row>
    <row r="61" spans="1:16" x14ac:dyDescent="0.25">
      <c r="A61" s="2">
        <v>46149</v>
      </c>
      <c r="B61" s="3" t="s">
        <v>104</v>
      </c>
      <c r="C61" s="3">
        <v>3965</v>
      </c>
      <c r="D61" s="3" t="s">
        <v>135</v>
      </c>
      <c r="E61" s="3" t="s">
        <v>115</v>
      </c>
      <c r="F61" s="3" t="s">
        <v>18</v>
      </c>
      <c r="G61" s="3" t="s">
        <v>18</v>
      </c>
      <c r="H61" s="3" t="s">
        <v>18</v>
      </c>
      <c r="I61" s="3" t="s">
        <v>18</v>
      </c>
      <c r="J61" s="3" t="str">
        <f t="shared" si="2"/>
        <v>SIM</v>
      </c>
      <c r="K61" s="3" t="str">
        <f t="shared" si="0"/>
        <v>OK</v>
      </c>
      <c r="L61" s="11" t="s">
        <v>140</v>
      </c>
      <c r="M61" s="3"/>
      <c r="N61" s="12" t="s">
        <v>84</v>
      </c>
      <c r="O61" s="3" t="str">
        <f>IF(B61="","",IFERROR(IF(VLOOKUP(B61,AUXILIAR!$O$2:$P$50,2,FALSE)="","CADASTRAR GERENTE",VLOOKUP(B61,AUXILIAR!$O$2:$P$50,2,FALSE)),"CADASTRAR GERENTE"))</f>
        <v>Cleonice</v>
      </c>
      <c r="P61" s="3" t="str">
        <f t="shared" si="1"/>
        <v>yyyy0507-Loja Valparaiso-3965</v>
      </c>
    </row>
    <row r="62" spans="1:16" x14ac:dyDescent="0.25">
      <c r="A62" s="2">
        <v>46149</v>
      </c>
      <c r="B62" s="3" t="s">
        <v>101</v>
      </c>
      <c r="C62" s="3">
        <v>3966</v>
      </c>
      <c r="D62" s="3" t="s">
        <v>114</v>
      </c>
      <c r="E62" s="3" t="s">
        <v>115</v>
      </c>
      <c r="F62" s="3" t="s">
        <v>18</v>
      </c>
      <c r="G62" s="3" t="s">
        <v>18</v>
      </c>
      <c r="H62" s="3" t="s">
        <v>18</v>
      </c>
      <c r="I62" s="3" t="s">
        <v>18</v>
      </c>
      <c r="J62" s="3" t="str">
        <f t="shared" si="2"/>
        <v>SIM</v>
      </c>
      <c r="K62" s="3" t="str">
        <f t="shared" si="0"/>
        <v>OK</v>
      </c>
      <c r="L62" s="11" t="s">
        <v>42</v>
      </c>
      <c r="M62" s="3"/>
      <c r="N62" s="12" t="s">
        <v>84</v>
      </c>
      <c r="O62" s="3" t="str">
        <f>IF(B62="","",IFERROR(IF(VLOOKUP(B62,AUXILIAR!$O$2:$P$50,2,FALSE)="","CADASTRAR GERENTE",VLOOKUP(B62,AUXILIAR!$O$2:$P$50,2,FALSE)),"CADASTRAR GERENTE"))</f>
        <v>Cinthya</v>
      </c>
      <c r="P62" s="3" t="str">
        <f t="shared" si="1"/>
        <v>yyyy0507-Loja Pistão-3966</v>
      </c>
    </row>
    <row r="63" spans="1:16" x14ac:dyDescent="0.25">
      <c r="A63" s="2">
        <v>46149</v>
      </c>
      <c r="B63" s="3" t="s">
        <v>104</v>
      </c>
      <c r="C63" s="3">
        <v>3967</v>
      </c>
      <c r="D63" s="3" t="s">
        <v>135</v>
      </c>
      <c r="E63" s="3" t="s">
        <v>115</v>
      </c>
      <c r="F63" s="3" t="s">
        <v>18</v>
      </c>
      <c r="G63" s="3" t="s">
        <v>18</v>
      </c>
      <c r="H63" s="3" t="s">
        <v>18</v>
      </c>
      <c r="I63" s="3" t="s">
        <v>18</v>
      </c>
      <c r="J63" s="3" t="str">
        <f t="shared" si="2"/>
        <v>SIM</v>
      </c>
      <c r="K63" s="3" t="str">
        <f t="shared" si="0"/>
        <v>OK</v>
      </c>
      <c r="L63" s="11" t="s">
        <v>140</v>
      </c>
      <c r="M63" s="3"/>
      <c r="N63" s="12" t="s">
        <v>84</v>
      </c>
      <c r="O63" s="3" t="str">
        <f>IF(B63="","",IFERROR(IF(VLOOKUP(B63,AUXILIAR!$O$2:$P$50,2,FALSE)="","CADASTRAR GERENTE",VLOOKUP(B63,AUXILIAR!$O$2:$P$50,2,FALSE)),"CADASTRAR GERENTE"))</f>
        <v>Cleonice</v>
      </c>
      <c r="P63" s="3" t="str">
        <f t="shared" si="1"/>
        <v>yyyy0507-Loja Valparaiso-3967</v>
      </c>
    </row>
    <row r="64" spans="1:16" x14ac:dyDescent="0.25">
      <c r="A64" s="2">
        <v>46149</v>
      </c>
      <c r="B64" s="3" t="s">
        <v>104</v>
      </c>
      <c r="C64" s="3">
        <v>3968</v>
      </c>
      <c r="D64" s="3" t="s">
        <v>135</v>
      </c>
      <c r="E64" s="3" t="s">
        <v>115</v>
      </c>
      <c r="F64" s="3" t="s">
        <v>18</v>
      </c>
      <c r="G64" s="3" t="s">
        <v>18</v>
      </c>
      <c r="H64" s="3" t="s">
        <v>18</v>
      </c>
      <c r="I64" s="3" t="s">
        <v>18</v>
      </c>
      <c r="J64" s="3" t="str">
        <f t="shared" si="2"/>
        <v>SIM</v>
      </c>
      <c r="K64" s="3" t="str">
        <f t="shared" si="0"/>
        <v>OK</v>
      </c>
      <c r="L64" s="11" t="s">
        <v>140</v>
      </c>
      <c r="M64" s="3"/>
      <c r="N64" s="12" t="s">
        <v>84</v>
      </c>
      <c r="O64" s="3" t="str">
        <f>IF(B64="","",IFERROR(IF(VLOOKUP(B64,AUXILIAR!$O$2:$P$50,2,FALSE)="","CADASTRAR GERENTE",VLOOKUP(B64,AUXILIAR!$O$2:$P$50,2,FALSE)),"CADASTRAR GERENTE"))</f>
        <v>Cleonice</v>
      </c>
      <c r="P64" s="3" t="str">
        <f t="shared" si="1"/>
        <v>yyyy0507-Loja Valparaiso-3968</v>
      </c>
    </row>
    <row r="65" spans="1:16" s="55" customFormat="1" x14ac:dyDescent="0.25">
      <c r="A65" s="2">
        <v>46149</v>
      </c>
      <c r="B65" s="3" t="s">
        <v>104</v>
      </c>
      <c r="C65" s="3">
        <v>3969</v>
      </c>
      <c r="D65" s="3" t="s">
        <v>135</v>
      </c>
      <c r="E65" s="3" t="s">
        <v>115</v>
      </c>
      <c r="F65" s="3" t="s">
        <v>19</v>
      </c>
      <c r="G65" s="3" t="s">
        <v>19</v>
      </c>
      <c r="H65" s="3" t="s">
        <v>19</v>
      </c>
      <c r="I65" s="3" t="s">
        <v>18</v>
      </c>
      <c r="J65" s="3" t="str">
        <f t="shared" si="2"/>
        <v>NÃO</v>
      </c>
      <c r="K65" s="3" t="str">
        <f t="shared" si="0"/>
        <v>NOK</v>
      </c>
      <c r="L65" s="11" t="s">
        <v>57</v>
      </c>
      <c r="M65" s="3" t="s">
        <v>136</v>
      </c>
      <c r="N65" s="12" t="s">
        <v>84</v>
      </c>
      <c r="O65" s="3" t="str">
        <f>IF(B65="","",IFERROR(IF(VLOOKUP(B65,AUXILIAR!$O$2:$P$50,2,FALSE)="","CADASTRAR GERENTE",VLOOKUP(B65,AUXILIAR!$O$2:$P$50,2,FALSE)),"CADASTRAR GERENTE"))</f>
        <v>Cleonice</v>
      </c>
      <c r="P65" s="3" t="str">
        <f t="shared" si="1"/>
        <v>yyyy0507-Loja Valparaiso-3969</v>
      </c>
    </row>
    <row r="66" spans="1:16" x14ac:dyDescent="0.25">
      <c r="A66" s="2">
        <v>46149</v>
      </c>
      <c r="B66" s="3" t="s">
        <v>104</v>
      </c>
      <c r="C66" s="3">
        <v>3970</v>
      </c>
      <c r="D66" s="3" t="s">
        <v>135</v>
      </c>
      <c r="E66" s="3" t="s">
        <v>115</v>
      </c>
      <c r="F66" s="3" t="s">
        <v>18</v>
      </c>
      <c r="G66" s="3" t="s">
        <v>18</v>
      </c>
      <c r="H66" s="3" t="s">
        <v>18</v>
      </c>
      <c r="I66" s="3" t="s">
        <v>18</v>
      </c>
      <c r="J66" s="3" t="str">
        <f t="shared" si="2"/>
        <v>SIM</v>
      </c>
      <c r="K66" s="3" t="str">
        <f t="shared" si="0"/>
        <v>OK</v>
      </c>
      <c r="L66" s="11" t="s">
        <v>140</v>
      </c>
      <c r="M66" s="3"/>
      <c r="N66" s="12" t="s">
        <v>84</v>
      </c>
      <c r="O66" s="3" t="str">
        <f>IF(B66="","",IFERROR(IF(VLOOKUP(B66,AUXILIAR!$O$2:$P$50,2,FALSE)="","CADASTRAR GERENTE",VLOOKUP(B66,AUXILIAR!$O$2:$P$50,2,FALSE)),"CADASTRAR GERENTE"))</f>
        <v>Cleonice</v>
      </c>
      <c r="P66" s="3" t="str">
        <f t="shared" si="1"/>
        <v>yyyy0507-Loja Valparaiso-3970</v>
      </c>
    </row>
    <row r="67" spans="1:16" x14ac:dyDescent="0.25">
      <c r="A67" s="2">
        <v>46153</v>
      </c>
      <c r="B67" s="3" t="s">
        <v>104</v>
      </c>
      <c r="C67" s="3">
        <v>3971</v>
      </c>
      <c r="D67" s="3" t="s">
        <v>135</v>
      </c>
      <c r="E67" s="3" t="s">
        <v>115</v>
      </c>
      <c r="F67" s="3" t="s">
        <v>18</v>
      </c>
      <c r="G67" s="3" t="s">
        <v>18</v>
      </c>
      <c r="H67" s="3" t="s">
        <v>18</v>
      </c>
      <c r="I67" s="3" t="s">
        <v>18</v>
      </c>
      <c r="J67" s="3" t="str">
        <f t="shared" si="2"/>
        <v>SIM</v>
      </c>
      <c r="K67" s="3" t="str">
        <f t="shared" si="0"/>
        <v>OK</v>
      </c>
      <c r="L67" s="11" t="s">
        <v>140</v>
      </c>
      <c r="M67" s="3"/>
      <c r="N67" s="12" t="s">
        <v>84</v>
      </c>
      <c r="O67" s="3" t="str">
        <f>IF(B67="","",IFERROR(IF(VLOOKUP(B67,AUXILIAR!$O$2:$P$50,2,FALSE)="","CADASTRAR GERENTE",VLOOKUP(B67,AUXILIAR!$O$2:$P$50,2,FALSE)),"CADASTRAR GERENTE"))</f>
        <v>Cleonice</v>
      </c>
      <c r="P67" s="3" t="str">
        <f t="shared" si="1"/>
        <v>yyyy0511-Loja Valparaiso-3971</v>
      </c>
    </row>
    <row r="68" spans="1:16" x14ac:dyDescent="0.25">
      <c r="A68" s="2">
        <v>46153</v>
      </c>
      <c r="B68" s="3" t="s">
        <v>104</v>
      </c>
      <c r="C68" s="3">
        <v>3972</v>
      </c>
      <c r="D68" s="3" t="s">
        <v>135</v>
      </c>
      <c r="E68" s="3" t="s">
        <v>115</v>
      </c>
      <c r="F68" s="3" t="s">
        <v>18</v>
      </c>
      <c r="G68" s="3" t="s">
        <v>18</v>
      </c>
      <c r="H68" s="3" t="s">
        <v>18</v>
      </c>
      <c r="I68" s="3" t="s">
        <v>18</v>
      </c>
      <c r="J68" s="3" t="str">
        <f t="shared" si="2"/>
        <v>SIM</v>
      </c>
      <c r="K68" s="3" t="str">
        <f t="shared" si="0"/>
        <v>OK</v>
      </c>
      <c r="L68" s="11" t="s">
        <v>140</v>
      </c>
      <c r="M68" s="3"/>
      <c r="N68" s="12" t="s">
        <v>84</v>
      </c>
      <c r="O68" s="3" t="str">
        <f>IF(B68="","",IFERROR(IF(VLOOKUP(B68,AUXILIAR!$O$2:$P$50,2,FALSE)="","CADASTRAR GERENTE",VLOOKUP(B68,AUXILIAR!$O$2:$P$50,2,FALSE)),"CADASTRAR GERENTE"))</f>
        <v>Cleonice</v>
      </c>
      <c r="P68" s="3" t="str">
        <f t="shared" si="1"/>
        <v>yyyy0511-Loja Valparaiso-3972</v>
      </c>
    </row>
    <row r="69" spans="1:16" x14ac:dyDescent="0.25">
      <c r="A69" s="2">
        <v>46153</v>
      </c>
      <c r="B69" s="3" t="s">
        <v>104</v>
      </c>
      <c r="C69" s="3">
        <v>3973</v>
      </c>
      <c r="D69" s="3" t="s">
        <v>135</v>
      </c>
      <c r="E69" s="3" t="s">
        <v>55</v>
      </c>
      <c r="F69" s="3"/>
      <c r="G69" s="3"/>
      <c r="H69" s="3"/>
      <c r="I69" s="3"/>
      <c r="J69" s="3" t="str">
        <f t="shared" si="2"/>
        <v xml:space="preserve"> </v>
      </c>
      <c r="K69" s="3" t="str">
        <f t="shared" si="0"/>
        <v>NOK</v>
      </c>
      <c r="L69" s="11" t="s">
        <v>56</v>
      </c>
      <c r="M69" s="3"/>
      <c r="N69" s="12" t="s">
        <v>84</v>
      </c>
      <c r="O69" s="3" t="str">
        <f>IF(B69="","",IFERROR(IF(VLOOKUP(B69,AUXILIAR!$O$2:$P$50,2,FALSE)="","CADASTRAR GERENTE",VLOOKUP(B69,AUXILIAR!$O$2:$P$50,2,FALSE)),"CADASTRAR GERENTE"))</f>
        <v>Cleonice</v>
      </c>
      <c r="P69" s="3" t="str">
        <f t="shared" si="1"/>
        <v>yyyy0511-Loja Valparaiso-3973</v>
      </c>
    </row>
    <row r="70" spans="1:16" x14ac:dyDescent="0.25">
      <c r="A70" s="2">
        <v>46153</v>
      </c>
      <c r="B70" s="3" t="s">
        <v>106</v>
      </c>
      <c r="C70" s="3">
        <v>3974</v>
      </c>
      <c r="D70" s="3" t="s">
        <v>114</v>
      </c>
      <c r="E70" s="3" t="s">
        <v>115</v>
      </c>
      <c r="F70" s="3" t="s">
        <v>19</v>
      </c>
      <c r="G70" s="3" t="s">
        <v>19</v>
      </c>
      <c r="H70" s="3" t="s">
        <v>19</v>
      </c>
      <c r="I70" s="3" t="s">
        <v>18</v>
      </c>
      <c r="J70" s="3" t="str">
        <f t="shared" si="2"/>
        <v>NÃO</v>
      </c>
      <c r="K70" s="3" t="str">
        <f t="shared" ref="K70:K119" si="3">IF(C70="","",IF(AND(F70="SIM",I70="SIM",J70="SIM"),"OK","NOK"))</f>
        <v>NOK</v>
      </c>
      <c r="L70" s="11" t="s">
        <v>57</v>
      </c>
      <c r="M70" s="3" t="s">
        <v>136</v>
      </c>
      <c r="N70" s="12" t="s">
        <v>84</v>
      </c>
      <c r="O70" s="3" t="str">
        <f>IF(B70="","",IFERROR(IF(VLOOKUP(B70,AUXILIAR!$O$2:$P$50,2,FALSE)="","CADASTRAR GERENTE",VLOOKUP(B70,AUXILIAR!$O$2:$P$50,2,FALSE)),"CADASTRAR GERENTE"))</f>
        <v>Danilo</v>
      </c>
      <c r="P70" s="3" t="str">
        <f t="shared" ref="P70:P119" si="4">IF(C70="","",TEXT(A70,"yyyymmdd")&amp;"-"&amp;B70&amp;"-"&amp;C70)</f>
        <v>yyyy0511-Loja ADE-3974</v>
      </c>
    </row>
    <row r="71" spans="1:16" x14ac:dyDescent="0.25">
      <c r="A71" s="2">
        <v>46150</v>
      </c>
      <c r="B71" s="3" t="s">
        <v>102</v>
      </c>
      <c r="C71" s="3">
        <v>3976</v>
      </c>
      <c r="D71" s="3" t="s">
        <v>124</v>
      </c>
      <c r="E71" s="3" t="s">
        <v>115</v>
      </c>
      <c r="F71" s="3" t="s">
        <v>19</v>
      </c>
      <c r="G71" s="3" t="s">
        <v>19</v>
      </c>
      <c r="H71" s="3" t="s">
        <v>19</v>
      </c>
      <c r="I71" s="3" t="s">
        <v>18</v>
      </c>
      <c r="J71" s="3" t="str">
        <f t="shared" ref="J71:J119" si="5">IF(C71="","",IF(E71="Retorno Total"," ",IF(E71="Cancelado"," ",IF(AND(G71="SIM",H71="SIM"),"SIM","NÃO"))))</f>
        <v>NÃO</v>
      </c>
      <c r="K71" s="3" t="str">
        <f t="shared" si="3"/>
        <v>NOK</v>
      </c>
      <c r="L71" s="11" t="s">
        <v>57</v>
      </c>
      <c r="M71" s="3" t="s">
        <v>136</v>
      </c>
      <c r="N71" s="12" t="s">
        <v>84</v>
      </c>
      <c r="O71" s="3" t="str">
        <f>IF(B71="","",IFERROR(IF(VLOOKUP(B71,AUXILIAR!$O$2:$P$50,2,FALSE)="","CADASTRAR GERENTE",VLOOKUP(B71,AUXILIAR!$O$2:$P$50,2,FALSE)),"CADASTRAR GERENTE"))</f>
        <v>Neudo</v>
      </c>
      <c r="P71" s="3" t="str">
        <f t="shared" si="4"/>
        <v>yyyy0508-Loja Asa Norte-3976</v>
      </c>
    </row>
    <row r="72" spans="1:16" x14ac:dyDescent="0.25">
      <c r="A72" s="2">
        <v>46150</v>
      </c>
      <c r="B72" s="3" t="s">
        <v>102</v>
      </c>
      <c r="C72" s="3">
        <v>3977</v>
      </c>
      <c r="D72" s="3" t="s">
        <v>124</v>
      </c>
      <c r="E72" s="3" t="s">
        <v>115</v>
      </c>
      <c r="F72" s="3" t="s">
        <v>19</v>
      </c>
      <c r="G72" s="3" t="s">
        <v>19</v>
      </c>
      <c r="H72" s="3" t="s">
        <v>19</v>
      </c>
      <c r="I72" s="3" t="s">
        <v>18</v>
      </c>
      <c r="J72" s="3" t="str">
        <f t="shared" si="5"/>
        <v>NÃO</v>
      </c>
      <c r="K72" s="3" t="str">
        <f t="shared" si="3"/>
        <v>NOK</v>
      </c>
      <c r="L72" s="11" t="s">
        <v>57</v>
      </c>
      <c r="M72" s="3" t="s">
        <v>136</v>
      </c>
      <c r="N72" s="12" t="s">
        <v>84</v>
      </c>
      <c r="O72" s="3" t="str">
        <f>IF(B72="","",IFERROR(IF(VLOOKUP(B72,AUXILIAR!$O$2:$P$50,2,FALSE)="","CADASTRAR GERENTE",VLOOKUP(B72,AUXILIAR!$O$2:$P$50,2,FALSE)),"CADASTRAR GERENTE"))</f>
        <v>Neudo</v>
      </c>
      <c r="P72" s="3" t="str">
        <f t="shared" si="4"/>
        <v>yyyy0508-Loja Asa Norte-3977</v>
      </c>
    </row>
    <row r="73" spans="1:16" x14ac:dyDescent="0.25">
      <c r="A73" s="2">
        <v>46150</v>
      </c>
      <c r="B73" s="3" t="s">
        <v>106</v>
      </c>
      <c r="C73" s="3">
        <v>3978</v>
      </c>
      <c r="D73" s="3" t="s">
        <v>114</v>
      </c>
      <c r="E73" s="3" t="s">
        <v>115</v>
      </c>
      <c r="F73" s="3" t="s">
        <v>18</v>
      </c>
      <c r="G73" s="3" t="s">
        <v>18</v>
      </c>
      <c r="H73" s="3" t="s">
        <v>18</v>
      </c>
      <c r="I73" s="3" t="s">
        <v>18</v>
      </c>
      <c r="J73" s="3" t="str">
        <f t="shared" si="5"/>
        <v>SIM</v>
      </c>
      <c r="K73" s="3" t="str">
        <f t="shared" si="3"/>
        <v>OK</v>
      </c>
      <c r="L73" s="11" t="s">
        <v>42</v>
      </c>
      <c r="M73" s="3"/>
      <c r="N73" s="12" t="s">
        <v>84</v>
      </c>
      <c r="O73" s="3" t="str">
        <f>IF(B73="","",IFERROR(IF(VLOOKUP(B73,AUXILIAR!$O$2:$P$50,2,FALSE)="","CADASTRAR GERENTE",VLOOKUP(B73,AUXILIAR!$O$2:$P$50,2,FALSE)),"CADASTRAR GERENTE"))</f>
        <v>Danilo</v>
      </c>
      <c r="P73" s="3" t="str">
        <f t="shared" si="4"/>
        <v>yyyy0508-Loja ADE-3978</v>
      </c>
    </row>
    <row r="74" spans="1:16" x14ac:dyDescent="0.25">
      <c r="A74" s="2">
        <v>46150</v>
      </c>
      <c r="B74" s="3" t="s">
        <v>101</v>
      </c>
      <c r="C74" s="3">
        <v>3979</v>
      </c>
      <c r="D74" s="3" t="s">
        <v>114</v>
      </c>
      <c r="E74" s="3" t="s">
        <v>115</v>
      </c>
      <c r="F74" s="3" t="s">
        <v>18</v>
      </c>
      <c r="G74" s="3" t="s">
        <v>18</v>
      </c>
      <c r="H74" s="3" t="s">
        <v>18</v>
      </c>
      <c r="I74" s="3" t="s">
        <v>18</v>
      </c>
      <c r="J74" s="3" t="str">
        <f t="shared" si="5"/>
        <v>SIM</v>
      </c>
      <c r="K74" s="3" t="str">
        <f t="shared" si="3"/>
        <v>OK</v>
      </c>
      <c r="L74" s="11" t="s">
        <v>140</v>
      </c>
      <c r="M74" s="3"/>
      <c r="N74" s="12" t="s">
        <v>84</v>
      </c>
      <c r="O74" s="3" t="str">
        <f>IF(B74="","",IFERROR(IF(VLOOKUP(B74,AUXILIAR!$O$2:$P$50,2,FALSE)="","CADASTRAR GERENTE",VLOOKUP(B74,AUXILIAR!$O$2:$P$50,2,FALSE)),"CADASTRAR GERENTE"))</f>
        <v>Cinthya</v>
      </c>
      <c r="P74" s="3" t="str">
        <f t="shared" si="4"/>
        <v>yyyy0508-Loja Pistão-3979</v>
      </c>
    </row>
    <row r="75" spans="1:16" x14ac:dyDescent="0.25">
      <c r="A75" s="2">
        <v>46150</v>
      </c>
      <c r="B75" s="3" t="s">
        <v>101</v>
      </c>
      <c r="C75" s="3">
        <v>3980</v>
      </c>
      <c r="D75" s="3" t="s">
        <v>114</v>
      </c>
      <c r="E75" s="3" t="s">
        <v>115</v>
      </c>
      <c r="F75" s="3" t="s">
        <v>18</v>
      </c>
      <c r="G75" s="3" t="s">
        <v>18</v>
      </c>
      <c r="H75" s="3" t="s">
        <v>18</v>
      </c>
      <c r="I75" s="3" t="s">
        <v>18</v>
      </c>
      <c r="J75" s="3" t="str">
        <f t="shared" si="5"/>
        <v>SIM</v>
      </c>
      <c r="K75" s="3" t="str">
        <f t="shared" si="3"/>
        <v>OK</v>
      </c>
      <c r="L75" s="11" t="s">
        <v>140</v>
      </c>
      <c r="M75" s="3"/>
      <c r="N75" s="12" t="s">
        <v>84</v>
      </c>
      <c r="O75" s="3" t="str">
        <f>IF(B75="","",IFERROR(IF(VLOOKUP(B75,AUXILIAR!$O$2:$P$50,2,FALSE)="","CADASTRAR GERENTE",VLOOKUP(B75,AUXILIAR!$O$2:$P$50,2,FALSE)),"CADASTRAR GERENTE"))</f>
        <v>Cinthya</v>
      </c>
      <c r="P75" s="3" t="str">
        <f t="shared" si="4"/>
        <v>yyyy0508-Loja Pistão-3980</v>
      </c>
    </row>
    <row r="76" spans="1:16" x14ac:dyDescent="0.25">
      <c r="A76" s="2">
        <v>46150</v>
      </c>
      <c r="B76" s="3" t="s">
        <v>102</v>
      </c>
      <c r="C76" s="3">
        <v>3981</v>
      </c>
      <c r="D76" s="3" t="s">
        <v>124</v>
      </c>
      <c r="E76" s="3" t="s">
        <v>115</v>
      </c>
      <c r="F76" s="3" t="s">
        <v>19</v>
      </c>
      <c r="G76" s="3" t="s">
        <v>19</v>
      </c>
      <c r="H76" s="3" t="s">
        <v>19</v>
      </c>
      <c r="I76" s="3" t="s">
        <v>18</v>
      </c>
      <c r="J76" s="3" t="str">
        <f t="shared" si="5"/>
        <v>NÃO</v>
      </c>
      <c r="K76" s="3" t="str">
        <f t="shared" si="3"/>
        <v>NOK</v>
      </c>
      <c r="L76" s="11" t="s">
        <v>57</v>
      </c>
      <c r="M76" s="3" t="s">
        <v>136</v>
      </c>
      <c r="N76" s="12" t="s">
        <v>84</v>
      </c>
      <c r="O76" s="3" t="str">
        <f>IF(B76="","",IFERROR(IF(VLOOKUP(B76,AUXILIAR!$O$2:$P$50,2,FALSE)="","CADASTRAR GERENTE",VLOOKUP(B76,AUXILIAR!$O$2:$P$50,2,FALSE)),"CADASTRAR GERENTE"))</f>
        <v>Neudo</v>
      </c>
      <c r="P76" s="3" t="str">
        <f t="shared" si="4"/>
        <v>yyyy0508-Loja Asa Norte-3981</v>
      </c>
    </row>
    <row r="77" spans="1:16" x14ac:dyDescent="0.25">
      <c r="A77" s="2">
        <v>46150</v>
      </c>
      <c r="B77" s="3" t="s">
        <v>102</v>
      </c>
      <c r="C77" s="3">
        <v>3982</v>
      </c>
      <c r="D77" s="3" t="s">
        <v>124</v>
      </c>
      <c r="E77" s="3" t="s">
        <v>115</v>
      </c>
      <c r="F77" s="3" t="s">
        <v>19</v>
      </c>
      <c r="G77" s="3" t="s">
        <v>19</v>
      </c>
      <c r="H77" s="3" t="s">
        <v>19</v>
      </c>
      <c r="I77" s="3" t="s">
        <v>18</v>
      </c>
      <c r="J77" s="3" t="str">
        <f t="shared" si="5"/>
        <v>NÃO</v>
      </c>
      <c r="K77" s="3" t="str">
        <f t="shared" si="3"/>
        <v>NOK</v>
      </c>
      <c r="L77" s="11" t="s">
        <v>57</v>
      </c>
      <c r="M77" s="3" t="s">
        <v>136</v>
      </c>
      <c r="N77" s="12" t="s">
        <v>84</v>
      </c>
      <c r="O77" s="3" t="str">
        <f>IF(B77="","",IFERROR(IF(VLOOKUP(B77,AUXILIAR!$O$2:$P$50,2,FALSE)="","CADASTRAR GERENTE",VLOOKUP(B77,AUXILIAR!$O$2:$P$50,2,FALSE)),"CADASTRAR GERENTE"))</f>
        <v>Neudo</v>
      </c>
      <c r="P77" s="3" t="str">
        <f t="shared" si="4"/>
        <v>yyyy0508-Loja Asa Norte-3982</v>
      </c>
    </row>
    <row r="78" spans="1:16" x14ac:dyDescent="0.25">
      <c r="A78" s="2">
        <v>46150</v>
      </c>
      <c r="B78" s="3" t="s">
        <v>102</v>
      </c>
      <c r="C78" s="3">
        <v>3983</v>
      </c>
      <c r="D78" s="3" t="s">
        <v>124</v>
      </c>
      <c r="E78" s="3" t="s">
        <v>115</v>
      </c>
      <c r="F78" s="3" t="s">
        <v>19</v>
      </c>
      <c r="G78" s="3" t="s">
        <v>19</v>
      </c>
      <c r="H78" s="3" t="s">
        <v>19</v>
      </c>
      <c r="I78" s="3" t="s">
        <v>18</v>
      </c>
      <c r="J78" s="3" t="str">
        <f t="shared" si="5"/>
        <v>NÃO</v>
      </c>
      <c r="K78" s="3" t="str">
        <f t="shared" si="3"/>
        <v>NOK</v>
      </c>
      <c r="L78" s="11" t="s">
        <v>57</v>
      </c>
      <c r="M78" s="3" t="s">
        <v>136</v>
      </c>
      <c r="N78" s="12" t="s">
        <v>84</v>
      </c>
      <c r="O78" s="3" t="str">
        <f>IF(B78="","",IFERROR(IF(VLOOKUP(B78,AUXILIAR!$O$2:$P$50,2,FALSE)="","CADASTRAR GERENTE",VLOOKUP(B78,AUXILIAR!$O$2:$P$50,2,FALSE)),"CADASTRAR GERENTE"))</f>
        <v>Neudo</v>
      </c>
      <c r="P78" s="3" t="str">
        <f t="shared" si="4"/>
        <v>yyyy0508-Loja Asa Norte-3983</v>
      </c>
    </row>
    <row r="79" spans="1:16" x14ac:dyDescent="0.25">
      <c r="A79" s="2">
        <v>46150</v>
      </c>
      <c r="B79" s="3" t="s">
        <v>102</v>
      </c>
      <c r="C79" s="3">
        <v>3984</v>
      </c>
      <c r="D79" s="3" t="s">
        <v>124</v>
      </c>
      <c r="E79" s="3" t="s">
        <v>115</v>
      </c>
      <c r="F79" s="3" t="s">
        <v>19</v>
      </c>
      <c r="G79" s="3" t="s">
        <v>19</v>
      </c>
      <c r="H79" s="3" t="s">
        <v>19</v>
      </c>
      <c r="I79" s="3" t="s">
        <v>18</v>
      </c>
      <c r="J79" s="3" t="str">
        <f t="shared" si="5"/>
        <v>NÃO</v>
      </c>
      <c r="K79" s="3" t="str">
        <f t="shared" si="3"/>
        <v>NOK</v>
      </c>
      <c r="L79" s="11" t="s">
        <v>57</v>
      </c>
      <c r="M79" s="3" t="s">
        <v>136</v>
      </c>
      <c r="N79" s="12" t="s">
        <v>84</v>
      </c>
      <c r="O79" s="3" t="str">
        <f>IF(B79="","",IFERROR(IF(VLOOKUP(B79,AUXILIAR!$O$2:$P$50,2,FALSE)="","CADASTRAR GERENTE",VLOOKUP(B79,AUXILIAR!$O$2:$P$50,2,FALSE)),"CADASTRAR GERENTE"))</f>
        <v>Neudo</v>
      </c>
      <c r="P79" s="3" t="str">
        <f t="shared" si="4"/>
        <v>yyyy0508-Loja Asa Norte-3984</v>
      </c>
    </row>
    <row r="80" spans="1:16" x14ac:dyDescent="0.25">
      <c r="A80" s="2">
        <v>46150</v>
      </c>
      <c r="B80" s="3" t="s">
        <v>106</v>
      </c>
      <c r="C80" s="3">
        <v>3985</v>
      </c>
      <c r="D80" s="3" t="s">
        <v>114</v>
      </c>
      <c r="E80" s="3" t="s">
        <v>115</v>
      </c>
      <c r="F80" s="3" t="s">
        <v>18</v>
      </c>
      <c r="G80" s="3" t="s">
        <v>18</v>
      </c>
      <c r="H80" s="3" t="s">
        <v>18</v>
      </c>
      <c r="I80" s="3" t="s">
        <v>18</v>
      </c>
      <c r="J80" s="3" t="str">
        <f t="shared" si="5"/>
        <v>SIM</v>
      </c>
      <c r="K80" s="3" t="str">
        <f t="shared" si="3"/>
        <v>OK</v>
      </c>
      <c r="L80" s="11" t="s">
        <v>140</v>
      </c>
      <c r="M80" s="3"/>
      <c r="N80" s="12" t="s">
        <v>84</v>
      </c>
      <c r="O80" s="3" t="str">
        <f>IF(B80="","",IFERROR(IF(VLOOKUP(B80,AUXILIAR!$O$2:$P$50,2,FALSE)="","CADASTRAR GERENTE",VLOOKUP(B80,AUXILIAR!$O$2:$P$50,2,FALSE)),"CADASTRAR GERENTE"))</f>
        <v>Danilo</v>
      </c>
      <c r="P80" s="3" t="str">
        <f t="shared" si="4"/>
        <v>yyyy0508-Loja ADE-3985</v>
      </c>
    </row>
    <row r="81" spans="1:16" x14ac:dyDescent="0.25">
      <c r="A81" s="2">
        <v>46150</v>
      </c>
      <c r="B81" s="3" t="s">
        <v>102</v>
      </c>
      <c r="C81" s="3">
        <v>3988</v>
      </c>
      <c r="D81" s="3" t="s">
        <v>124</v>
      </c>
      <c r="E81" s="3" t="s">
        <v>115</v>
      </c>
      <c r="F81" s="3" t="s">
        <v>19</v>
      </c>
      <c r="G81" s="3" t="s">
        <v>19</v>
      </c>
      <c r="H81" s="3" t="s">
        <v>19</v>
      </c>
      <c r="I81" s="3" t="s">
        <v>18</v>
      </c>
      <c r="J81" s="3" t="str">
        <f t="shared" si="5"/>
        <v>NÃO</v>
      </c>
      <c r="K81" s="3" t="str">
        <f t="shared" si="3"/>
        <v>NOK</v>
      </c>
      <c r="L81" s="11" t="s">
        <v>57</v>
      </c>
      <c r="M81" s="3" t="s">
        <v>136</v>
      </c>
      <c r="N81" s="12" t="s">
        <v>84</v>
      </c>
      <c r="O81" s="3" t="str">
        <f>IF(B81="","",IFERROR(IF(VLOOKUP(B81,AUXILIAR!$O$2:$P$50,2,FALSE)="","CADASTRAR GERENTE",VLOOKUP(B81,AUXILIAR!$O$2:$P$50,2,FALSE)),"CADASTRAR GERENTE"))</f>
        <v>Neudo</v>
      </c>
      <c r="P81" s="3" t="str">
        <f t="shared" si="4"/>
        <v>yyyy0508-Loja Asa Norte-3988</v>
      </c>
    </row>
    <row r="82" spans="1:16" x14ac:dyDescent="0.25">
      <c r="A82" s="2">
        <v>46150</v>
      </c>
      <c r="B82" s="3" t="s">
        <v>101</v>
      </c>
      <c r="C82" s="3">
        <v>3989</v>
      </c>
      <c r="D82" s="3" t="s">
        <v>114</v>
      </c>
      <c r="E82" s="3" t="s">
        <v>115</v>
      </c>
      <c r="F82" s="3" t="s">
        <v>18</v>
      </c>
      <c r="G82" s="3" t="s">
        <v>18</v>
      </c>
      <c r="H82" s="3" t="s">
        <v>18</v>
      </c>
      <c r="I82" s="3" t="s">
        <v>18</v>
      </c>
      <c r="J82" s="3" t="str">
        <f t="shared" si="5"/>
        <v>SIM</v>
      </c>
      <c r="K82" s="3" t="str">
        <f t="shared" si="3"/>
        <v>OK</v>
      </c>
      <c r="L82" s="11" t="s">
        <v>140</v>
      </c>
      <c r="M82" s="3"/>
      <c r="N82" s="12" t="s">
        <v>84</v>
      </c>
      <c r="O82" s="3" t="str">
        <f>IF(B82="","",IFERROR(IF(VLOOKUP(B82,AUXILIAR!$O$2:$P$50,2,FALSE)="","CADASTRAR GERENTE",VLOOKUP(B82,AUXILIAR!$O$2:$P$50,2,FALSE)),"CADASTRAR GERENTE"))</f>
        <v>Cinthya</v>
      </c>
      <c r="P82" s="3" t="str">
        <f t="shared" si="4"/>
        <v>yyyy0508-Loja Pistão-3989</v>
      </c>
    </row>
    <row r="83" spans="1:16" x14ac:dyDescent="0.25">
      <c r="A83" s="2">
        <v>46153</v>
      </c>
      <c r="B83" s="3" t="s">
        <v>106</v>
      </c>
      <c r="C83" s="3">
        <v>3991</v>
      </c>
      <c r="D83" s="3" t="s">
        <v>114</v>
      </c>
      <c r="E83" s="3" t="s">
        <v>115</v>
      </c>
      <c r="F83" s="3" t="s">
        <v>18</v>
      </c>
      <c r="G83" s="3" t="s">
        <v>18</v>
      </c>
      <c r="H83" s="3" t="s">
        <v>18</v>
      </c>
      <c r="I83" s="3" t="s">
        <v>18</v>
      </c>
      <c r="J83" s="3" t="str">
        <f t="shared" si="5"/>
        <v>SIM</v>
      </c>
      <c r="K83" s="3" t="str">
        <f t="shared" si="3"/>
        <v>OK</v>
      </c>
      <c r="L83" s="11" t="s">
        <v>42</v>
      </c>
      <c r="M83" s="3"/>
      <c r="N83" s="12" t="s">
        <v>84</v>
      </c>
      <c r="O83" s="3" t="str">
        <f>IF(B83="","",IFERROR(IF(VLOOKUP(B83,AUXILIAR!$O$2:$P$50,2,FALSE)="","CADASTRAR GERENTE",VLOOKUP(B83,AUXILIAR!$O$2:$P$50,2,FALSE)),"CADASTRAR GERENTE"))</f>
        <v>Danilo</v>
      </c>
      <c r="P83" s="3" t="str">
        <f t="shared" si="4"/>
        <v>yyyy0511-Loja ADE-3991</v>
      </c>
    </row>
    <row r="84" spans="1:16" x14ac:dyDescent="0.25">
      <c r="A84" s="2">
        <v>46153</v>
      </c>
      <c r="B84" s="3" t="s">
        <v>104</v>
      </c>
      <c r="C84" s="3">
        <v>3992</v>
      </c>
      <c r="D84" s="3" t="s">
        <v>135</v>
      </c>
      <c r="E84" s="3" t="s">
        <v>115</v>
      </c>
      <c r="F84" s="3" t="s">
        <v>18</v>
      </c>
      <c r="G84" s="3" t="s">
        <v>18</v>
      </c>
      <c r="H84" s="3" t="s">
        <v>18</v>
      </c>
      <c r="I84" s="3" t="s">
        <v>18</v>
      </c>
      <c r="J84" s="3" t="str">
        <f t="shared" si="5"/>
        <v>SIM</v>
      </c>
      <c r="K84" s="3" t="str">
        <f t="shared" si="3"/>
        <v>OK</v>
      </c>
      <c r="L84" s="11" t="s">
        <v>140</v>
      </c>
      <c r="M84" s="3"/>
      <c r="N84" s="12" t="s">
        <v>84</v>
      </c>
      <c r="O84" s="3" t="str">
        <f>IF(B84="","",IFERROR(IF(VLOOKUP(B84,AUXILIAR!$O$2:$P$50,2,FALSE)="","CADASTRAR GERENTE",VLOOKUP(B84,AUXILIAR!$O$2:$P$50,2,FALSE)),"CADASTRAR GERENTE"))</f>
        <v>Cleonice</v>
      </c>
      <c r="P84" s="3" t="str">
        <f t="shared" si="4"/>
        <v>yyyy0511-Loja Valparaiso-3992</v>
      </c>
    </row>
    <row r="85" spans="1:16" x14ac:dyDescent="0.25">
      <c r="A85" s="2">
        <v>46153</v>
      </c>
      <c r="B85" s="3" t="s">
        <v>106</v>
      </c>
      <c r="C85" s="3">
        <v>3993</v>
      </c>
      <c r="D85" s="3" t="s">
        <v>114</v>
      </c>
      <c r="E85" s="3" t="s">
        <v>115</v>
      </c>
      <c r="F85" s="3" t="s">
        <v>19</v>
      </c>
      <c r="G85" s="3" t="s">
        <v>19</v>
      </c>
      <c r="H85" s="3" t="s">
        <v>19</v>
      </c>
      <c r="I85" s="3" t="s">
        <v>18</v>
      </c>
      <c r="J85" s="3" t="str">
        <f t="shared" si="5"/>
        <v>NÃO</v>
      </c>
      <c r="K85" s="3" t="str">
        <f t="shared" si="3"/>
        <v>NOK</v>
      </c>
      <c r="L85" s="11" t="s">
        <v>57</v>
      </c>
      <c r="M85" s="3" t="s">
        <v>136</v>
      </c>
      <c r="N85" s="12" t="s">
        <v>84</v>
      </c>
      <c r="O85" s="3" t="str">
        <f>IF(B85="","",IFERROR(IF(VLOOKUP(B85,AUXILIAR!$O$2:$P$50,2,FALSE)="","CADASTRAR GERENTE",VLOOKUP(B85,AUXILIAR!$O$2:$P$50,2,FALSE)),"CADASTRAR GERENTE"))</f>
        <v>Danilo</v>
      </c>
      <c r="P85" s="3" t="str">
        <f t="shared" si="4"/>
        <v>yyyy0511-Loja ADE-3993</v>
      </c>
    </row>
    <row r="86" spans="1:16" x14ac:dyDescent="0.25">
      <c r="A86" s="2">
        <v>46153</v>
      </c>
      <c r="B86" s="3" t="s">
        <v>104</v>
      </c>
      <c r="C86" s="3">
        <v>3994</v>
      </c>
      <c r="D86" s="3" t="s">
        <v>135</v>
      </c>
      <c r="E86" s="3" t="s">
        <v>115</v>
      </c>
      <c r="F86" s="3" t="s">
        <v>18</v>
      </c>
      <c r="G86" s="3" t="s">
        <v>18</v>
      </c>
      <c r="H86" s="3" t="s">
        <v>18</v>
      </c>
      <c r="I86" s="3" t="s">
        <v>18</v>
      </c>
      <c r="J86" s="3" t="str">
        <f t="shared" si="5"/>
        <v>SIM</v>
      </c>
      <c r="K86" s="3" t="str">
        <f t="shared" si="3"/>
        <v>OK</v>
      </c>
      <c r="L86" s="11" t="s">
        <v>140</v>
      </c>
      <c r="M86" s="3"/>
      <c r="N86" s="12" t="s">
        <v>84</v>
      </c>
      <c r="O86" s="3" t="str">
        <f>IF(B86="","",IFERROR(IF(VLOOKUP(B86,AUXILIAR!$O$2:$P$50,2,FALSE)="","CADASTRAR GERENTE",VLOOKUP(B86,AUXILIAR!$O$2:$P$50,2,FALSE)),"CADASTRAR GERENTE"))</f>
        <v>Cleonice</v>
      </c>
      <c r="P86" s="3" t="str">
        <f t="shared" si="4"/>
        <v>yyyy0511-Loja Valparaiso-3994</v>
      </c>
    </row>
    <row r="87" spans="1:16" x14ac:dyDescent="0.25">
      <c r="A87" s="2">
        <v>46153</v>
      </c>
      <c r="B87" s="3" t="s">
        <v>104</v>
      </c>
      <c r="C87" s="3">
        <v>3995</v>
      </c>
      <c r="D87" s="3" t="s">
        <v>135</v>
      </c>
      <c r="E87" s="3" t="s">
        <v>115</v>
      </c>
      <c r="F87" s="3" t="s">
        <v>18</v>
      </c>
      <c r="G87" s="3" t="s">
        <v>18</v>
      </c>
      <c r="H87" s="3" t="s">
        <v>18</v>
      </c>
      <c r="I87" s="3" t="s">
        <v>18</v>
      </c>
      <c r="J87" s="3" t="str">
        <f t="shared" si="5"/>
        <v>SIM</v>
      </c>
      <c r="K87" s="3" t="str">
        <f t="shared" si="3"/>
        <v>OK</v>
      </c>
      <c r="L87" s="11" t="s">
        <v>140</v>
      </c>
      <c r="M87" s="3"/>
      <c r="N87" s="12" t="s">
        <v>84</v>
      </c>
      <c r="O87" s="3" t="str">
        <f>IF(B87="","",IFERROR(IF(VLOOKUP(B87,AUXILIAR!$O$2:$P$50,2,FALSE)="","CADASTRAR GERENTE",VLOOKUP(B87,AUXILIAR!$O$2:$P$50,2,FALSE)),"CADASTRAR GERENTE"))</f>
        <v>Cleonice</v>
      </c>
      <c r="P87" s="3" t="str">
        <f t="shared" si="4"/>
        <v>yyyy0511-Loja Valparaiso-3995</v>
      </c>
    </row>
    <row r="88" spans="1:16" x14ac:dyDescent="0.25">
      <c r="A88" s="2">
        <v>46153</v>
      </c>
      <c r="B88" s="3" t="s">
        <v>101</v>
      </c>
      <c r="C88" s="3">
        <v>3996</v>
      </c>
      <c r="D88" s="3" t="s">
        <v>114</v>
      </c>
      <c r="E88" s="3" t="s">
        <v>115</v>
      </c>
      <c r="F88" s="3" t="s">
        <v>19</v>
      </c>
      <c r="G88" s="3" t="s">
        <v>19</v>
      </c>
      <c r="H88" s="3" t="s">
        <v>19</v>
      </c>
      <c r="I88" s="3" t="s">
        <v>18</v>
      </c>
      <c r="J88" s="3" t="str">
        <f t="shared" si="5"/>
        <v>NÃO</v>
      </c>
      <c r="K88" s="3" t="str">
        <f t="shared" si="3"/>
        <v>NOK</v>
      </c>
      <c r="L88" s="11" t="s">
        <v>57</v>
      </c>
      <c r="M88" s="3" t="s">
        <v>136</v>
      </c>
      <c r="N88" s="12" t="s">
        <v>84</v>
      </c>
      <c r="O88" s="3" t="str">
        <f>IF(B88="","",IFERROR(IF(VLOOKUP(B88,AUXILIAR!$O$2:$P$50,2,FALSE)="","CADASTRAR GERENTE",VLOOKUP(B88,AUXILIAR!$O$2:$P$50,2,FALSE)),"CADASTRAR GERENTE"))</f>
        <v>Cinthya</v>
      </c>
      <c r="P88" s="3" t="str">
        <f t="shared" si="4"/>
        <v>yyyy0511-Loja Pistão-3996</v>
      </c>
    </row>
    <row r="89" spans="1:16" x14ac:dyDescent="0.25">
      <c r="A89" s="2">
        <v>46153</v>
      </c>
      <c r="B89" s="3" t="s">
        <v>104</v>
      </c>
      <c r="C89" s="3">
        <v>3997</v>
      </c>
      <c r="D89" s="3" t="s">
        <v>135</v>
      </c>
      <c r="E89" s="3" t="s">
        <v>115</v>
      </c>
      <c r="F89" s="3" t="s">
        <v>18</v>
      </c>
      <c r="G89" s="3" t="s">
        <v>18</v>
      </c>
      <c r="H89" s="3" t="s">
        <v>18</v>
      </c>
      <c r="I89" s="3" t="s">
        <v>18</v>
      </c>
      <c r="J89" s="3" t="str">
        <f t="shared" si="5"/>
        <v>SIM</v>
      </c>
      <c r="K89" s="3" t="str">
        <f t="shared" si="3"/>
        <v>OK</v>
      </c>
      <c r="L89" s="11" t="s">
        <v>140</v>
      </c>
      <c r="M89" s="3"/>
      <c r="N89" s="12" t="s">
        <v>84</v>
      </c>
      <c r="O89" s="3" t="str">
        <f>IF(B89="","",IFERROR(IF(VLOOKUP(B89,AUXILIAR!$O$2:$P$50,2,FALSE)="","CADASTRAR GERENTE",VLOOKUP(B89,AUXILIAR!$O$2:$P$50,2,FALSE)),"CADASTRAR GERENTE"))</f>
        <v>Cleonice</v>
      </c>
      <c r="P89" s="3" t="str">
        <f t="shared" si="4"/>
        <v>yyyy0511-Loja Valparaiso-3997</v>
      </c>
    </row>
    <row r="90" spans="1:16" x14ac:dyDescent="0.25">
      <c r="A90" s="2">
        <v>46153</v>
      </c>
      <c r="B90" s="3" t="s">
        <v>104</v>
      </c>
      <c r="C90" s="3">
        <v>3998</v>
      </c>
      <c r="D90" s="3" t="s">
        <v>135</v>
      </c>
      <c r="E90" s="3" t="s">
        <v>115</v>
      </c>
      <c r="F90" s="3" t="s">
        <v>18</v>
      </c>
      <c r="G90" s="3" t="s">
        <v>18</v>
      </c>
      <c r="H90" s="3" t="s">
        <v>18</v>
      </c>
      <c r="I90" s="3" t="s">
        <v>18</v>
      </c>
      <c r="J90" s="3" t="str">
        <f t="shared" si="5"/>
        <v>SIM</v>
      </c>
      <c r="K90" s="3" t="str">
        <f t="shared" si="3"/>
        <v>OK</v>
      </c>
      <c r="L90" s="11" t="s">
        <v>140</v>
      </c>
      <c r="M90" s="3"/>
      <c r="N90" s="12" t="s">
        <v>84</v>
      </c>
      <c r="O90" s="3" t="str">
        <f>IF(B90="","",IFERROR(IF(VLOOKUP(B90,AUXILIAR!$O$2:$P$50,2,FALSE)="","CADASTRAR GERENTE",VLOOKUP(B90,AUXILIAR!$O$2:$P$50,2,FALSE)),"CADASTRAR GERENTE"))</f>
        <v>Cleonice</v>
      </c>
      <c r="P90" s="3" t="str">
        <f t="shared" si="4"/>
        <v>yyyy0511-Loja Valparaiso-3998</v>
      </c>
    </row>
    <row r="91" spans="1:16" x14ac:dyDescent="0.25">
      <c r="A91" s="2">
        <v>46153</v>
      </c>
      <c r="B91" s="3" t="s">
        <v>104</v>
      </c>
      <c r="C91" s="3">
        <v>3999</v>
      </c>
      <c r="D91" s="3" t="s">
        <v>135</v>
      </c>
      <c r="E91" s="3" t="s">
        <v>115</v>
      </c>
      <c r="F91" s="3" t="s">
        <v>18</v>
      </c>
      <c r="G91" s="3" t="s">
        <v>18</v>
      </c>
      <c r="H91" s="3" t="s">
        <v>18</v>
      </c>
      <c r="I91" s="3" t="s">
        <v>18</v>
      </c>
      <c r="J91" s="3" t="str">
        <f t="shared" si="5"/>
        <v>SIM</v>
      </c>
      <c r="K91" s="3" t="str">
        <f t="shared" si="3"/>
        <v>OK</v>
      </c>
      <c r="L91" s="11" t="s">
        <v>140</v>
      </c>
      <c r="M91" s="3"/>
      <c r="N91" s="12" t="s">
        <v>84</v>
      </c>
      <c r="O91" s="3" t="str">
        <f>IF(B91="","",IFERROR(IF(VLOOKUP(B91,AUXILIAR!$O$2:$P$50,2,FALSE)="","CADASTRAR GERENTE",VLOOKUP(B91,AUXILIAR!$O$2:$P$50,2,FALSE)),"CADASTRAR GERENTE"))</f>
        <v>Cleonice</v>
      </c>
      <c r="P91" s="3" t="str">
        <f t="shared" si="4"/>
        <v>yyyy0511-Loja Valparaiso-3999</v>
      </c>
    </row>
    <row r="92" spans="1:16" x14ac:dyDescent="0.25">
      <c r="A92" s="2">
        <v>46153</v>
      </c>
      <c r="B92" s="3" t="s">
        <v>101</v>
      </c>
      <c r="C92" s="3">
        <v>4000</v>
      </c>
      <c r="D92" s="3" t="s">
        <v>114</v>
      </c>
      <c r="E92" s="3" t="s">
        <v>115</v>
      </c>
      <c r="F92" s="3" t="s">
        <v>19</v>
      </c>
      <c r="G92" s="3" t="s">
        <v>19</v>
      </c>
      <c r="H92" s="3" t="s">
        <v>19</v>
      </c>
      <c r="I92" s="3" t="s">
        <v>18</v>
      </c>
      <c r="J92" s="3" t="str">
        <f t="shared" si="5"/>
        <v>NÃO</v>
      </c>
      <c r="K92" s="3" t="str">
        <f t="shared" si="3"/>
        <v>NOK</v>
      </c>
      <c r="L92" s="11" t="s">
        <v>57</v>
      </c>
      <c r="M92" s="3" t="s">
        <v>136</v>
      </c>
      <c r="N92" s="12" t="s">
        <v>84</v>
      </c>
      <c r="O92" s="3" t="str">
        <f>IF(B92="","",IFERROR(IF(VLOOKUP(B92,AUXILIAR!$O$2:$P$50,2,FALSE)="","CADASTRAR GERENTE",VLOOKUP(B92,AUXILIAR!$O$2:$P$50,2,FALSE)),"CADASTRAR GERENTE"))</f>
        <v>Cinthya</v>
      </c>
      <c r="P92" s="3" t="str">
        <f t="shared" si="4"/>
        <v>yyyy0511-Loja Pistão-4000</v>
      </c>
    </row>
    <row r="93" spans="1:16" x14ac:dyDescent="0.25">
      <c r="A93" s="2">
        <v>46154</v>
      </c>
      <c r="B93" s="3" t="s">
        <v>104</v>
      </c>
      <c r="C93" s="3">
        <v>4006</v>
      </c>
      <c r="D93" s="3" t="s">
        <v>135</v>
      </c>
      <c r="E93" s="3" t="s">
        <v>115</v>
      </c>
      <c r="F93" s="3" t="s">
        <v>18</v>
      </c>
      <c r="G93" s="3" t="s">
        <v>18</v>
      </c>
      <c r="H93" s="3" t="s">
        <v>18</v>
      </c>
      <c r="I93" s="3" t="s">
        <v>18</v>
      </c>
      <c r="J93" s="3" t="str">
        <f t="shared" si="5"/>
        <v>SIM</v>
      </c>
      <c r="K93" s="3" t="str">
        <f t="shared" si="3"/>
        <v>OK</v>
      </c>
      <c r="L93" s="11" t="s">
        <v>140</v>
      </c>
      <c r="M93" s="3"/>
      <c r="N93" s="12" t="s">
        <v>84</v>
      </c>
      <c r="O93" s="3" t="str">
        <f>IF(B93="","",IFERROR(IF(VLOOKUP(B93,AUXILIAR!$O$2:$P$50,2,FALSE)="","CADASTRAR GERENTE",VLOOKUP(B93,AUXILIAR!$O$2:$P$50,2,FALSE)),"CADASTRAR GERENTE"))</f>
        <v>Cleonice</v>
      </c>
      <c r="P93" s="3" t="str">
        <f t="shared" si="4"/>
        <v>yyyy0512-Loja Valparaiso-4006</v>
      </c>
    </row>
    <row r="94" spans="1:16" x14ac:dyDescent="0.25">
      <c r="A94" s="2">
        <v>46154</v>
      </c>
      <c r="B94" s="3" t="s">
        <v>104</v>
      </c>
      <c r="C94" s="3">
        <v>4007</v>
      </c>
      <c r="D94" s="3" t="s">
        <v>135</v>
      </c>
      <c r="E94" s="3" t="s">
        <v>115</v>
      </c>
      <c r="F94" s="3" t="s">
        <v>18</v>
      </c>
      <c r="G94" s="3" t="s">
        <v>18</v>
      </c>
      <c r="H94" s="3" t="s">
        <v>18</v>
      </c>
      <c r="I94" s="3" t="s">
        <v>18</v>
      </c>
      <c r="J94" s="3" t="str">
        <f t="shared" si="5"/>
        <v>SIM</v>
      </c>
      <c r="K94" s="3" t="str">
        <f t="shared" si="3"/>
        <v>OK</v>
      </c>
      <c r="L94" s="11" t="s">
        <v>140</v>
      </c>
      <c r="M94" s="3"/>
      <c r="N94" s="12" t="s">
        <v>84</v>
      </c>
      <c r="O94" s="3" t="str">
        <f>IF(B94="","",IFERROR(IF(VLOOKUP(B94,AUXILIAR!$O$2:$P$50,2,FALSE)="","CADASTRAR GERENTE",VLOOKUP(B94,AUXILIAR!$O$2:$P$50,2,FALSE)),"CADASTRAR GERENTE"))</f>
        <v>Cleonice</v>
      </c>
      <c r="P94" s="3" t="str">
        <f t="shared" si="4"/>
        <v>yyyy0512-Loja Valparaiso-4007</v>
      </c>
    </row>
    <row r="95" spans="1:16" x14ac:dyDescent="0.25">
      <c r="A95" s="2">
        <v>46154</v>
      </c>
      <c r="B95" s="3" t="s">
        <v>104</v>
      </c>
      <c r="C95" s="3">
        <v>4008</v>
      </c>
      <c r="D95" s="3" t="s">
        <v>135</v>
      </c>
      <c r="E95" s="3" t="s">
        <v>115</v>
      </c>
      <c r="F95" s="3" t="s">
        <v>18</v>
      </c>
      <c r="G95" s="3" t="s">
        <v>18</v>
      </c>
      <c r="H95" s="3" t="s">
        <v>18</v>
      </c>
      <c r="I95" s="3" t="s">
        <v>18</v>
      </c>
      <c r="J95" s="3" t="str">
        <f t="shared" si="5"/>
        <v>SIM</v>
      </c>
      <c r="K95" s="3" t="str">
        <f t="shared" si="3"/>
        <v>OK</v>
      </c>
      <c r="L95" s="11" t="s">
        <v>140</v>
      </c>
      <c r="M95" s="3"/>
      <c r="N95" s="12" t="s">
        <v>84</v>
      </c>
      <c r="O95" s="3" t="str">
        <f>IF(B95="","",IFERROR(IF(VLOOKUP(B95,AUXILIAR!$O$2:$P$50,2,FALSE)="","CADASTRAR GERENTE",VLOOKUP(B95,AUXILIAR!$O$2:$P$50,2,FALSE)),"CADASTRAR GERENTE"))</f>
        <v>Cleonice</v>
      </c>
      <c r="P95" s="3" t="str">
        <f t="shared" si="4"/>
        <v>yyyy0512-Loja Valparaiso-4008</v>
      </c>
    </row>
    <row r="96" spans="1:16" x14ac:dyDescent="0.25">
      <c r="A96" s="2">
        <v>46154</v>
      </c>
      <c r="B96" s="3" t="s">
        <v>104</v>
      </c>
      <c r="C96" s="3">
        <v>4009</v>
      </c>
      <c r="D96" s="3" t="s">
        <v>135</v>
      </c>
      <c r="E96" s="3" t="s">
        <v>115</v>
      </c>
      <c r="F96" s="3" t="s">
        <v>18</v>
      </c>
      <c r="G96" s="3" t="s">
        <v>18</v>
      </c>
      <c r="H96" s="3" t="s">
        <v>18</v>
      </c>
      <c r="I96" s="3" t="s">
        <v>18</v>
      </c>
      <c r="J96" s="3" t="str">
        <f t="shared" si="5"/>
        <v>SIM</v>
      </c>
      <c r="K96" s="3" t="str">
        <f t="shared" si="3"/>
        <v>OK</v>
      </c>
      <c r="L96" s="11" t="s">
        <v>140</v>
      </c>
      <c r="M96" s="3"/>
      <c r="N96" s="12" t="s">
        <v>84</v>
      </c>
      <c r="O96" s="3" t="str">
        <f>IF(B96="","",IFERROR(IF(VLOOKUP(B96,AUXILIAR!$O$2:$P$50,2,FALSE)="","CADASTRAR GERENTE",VLOOKUP(B96,AUXILIAR!$O$2:$P$50,2,FALSE)),"CADASTRAR GERENTE"))</f>
        <v>Cleonice</v>
      </c>
      <c r="P96" s="3" t="str">
        <f t="shared" si="4"/>
        <v>yyyy0512-Loja Valparaiso-4009</v>
      </c>
    </row>
    <row r="97" spans="1:16" x14ac:dyDescent="0.25">
      <c r="A97" s="2">
        <v>46156</v>
      </c>
      <c r="B97" s="3" t="s">
        <v>106</v>
      </c>
      <c r="C97" s="3">
        <v>4011</v>
      </c>
      <c r="D97" s="3" t="s">
        <v>114</v>
      </c>
      <c r="E97" s="3" t="s">
        <v>115</v>
      </c>
      <c r="F97" s="3" t="s">
        <v>18</v>
      </c>
      <c r="G97" s="3" t="s">
        <v>18</v>
      </c>
      <c r="H97" s="3" t="s">
        <v>18</v>
      </c>
      <c r="I97" s="3" t="s">
        <v>18</v>
      </c>
      <c r="J97" s="3" t="str">
        <f t="shared" si="5"/>
        <v>SIM</v>
      </c>
      <c r="K97" s="3" t="str">
        <f t="shared" si="3"/>
        <v>OK</v>
      </c>
      <c r="L97" s="11" t="s">
        <v>42</v>
      </c>
      <c r="M97" s="3"/>
      <c r="N97" s="12" t="s">
        <v>84</v>
      </c>
      <c r="O97" s="3" t="str">
        <f>IF(B97="","",IFERROR(IF(VLOOKUP(B97,AUXILIAR!$O$2:$P$50,2,FALSE)="","CADASTRAR GERENTE",VLOOKUP(B97,AUXILIAR!$O$2:$P$50,2,FALSE)),"CADASTRAR GERENTE"))</f>
        <v>Danilo</v>
      </c>
      <c r="P97" s="3" t="str">
        <f t="shared" si="4"/>
        <v>yyyy0514-Loja ADE-4011</v>
      </c>
    </row>
    <row r="98" spans="1:16" x14ac:dyDescent="0.25">
      <c r="A98" s="2">
        <v>46156</v>
      </c>
      <c r="B98" s="3" t="s">
        <v>106</v>
      </c>
      <c r="C98" s="3">
        <v>4012</v>
      </c>
      <c r="D98" s="3" t="s">
        <v>114</v>
      </c>
      <c r="E98" s="3" t="s">
        <v>116</v>
      </c>
      <c r="F98" s="3"/>
      <c r="G98" s="3"/>
      <c r="H98" s="3"/>
      <c r="I98" s="3"/>
      <c r="J98" s="3" t="str">
        <f t="shared" si="5"/>
        <v xml:space="preserve"> </v>
      </c>
      <c r="K98" s="3" t="str">
        <f t="shared" si="3"/>
        <v>NOK</v>
      </c>
      <c r="L98" s="11" t="s">
        <v>57</v>
      </c>
      <c r="M98" s="3"/>
      <c r="N98" s="12" t="s">
        <v>84</v>
      </c>
      <c r="O98" s="3" t="str">
        <f>IF(B98="","",IFERROR(IF(VLOOKUP(B98,AUXILIAR!$O$2:$P$50,2,FALSE)="","CADASTRAR GERENTE",VLOOKUP(B98,AUXILIAR!$O$2:$P$50,2,FALSE)),"CADASTRAR GERENTE"))</f>
        <v>Danilo</v>
      </c>
      <c r="P98" s="3" t="str">
        <f t="shared" si="4"/>
        <v>yyyy0514-Loja ADE-4012</v>
      </c>
    </row>
    <row r="99" spans="1:16" x14ac:dyDescent="0.25">
      <c r="A99" s="2">
        <v>46156</v>
      </c>
      <c r="B99" s="3" t="s">
        <v>102</v>
      </c>
      <c r="C99" s="3">
        <v>4013</v>
      </c>
      <c r="D99" s="3" t="s">
        <v>124</v>
      </c>
      <c r="E99" s="3" t="s">
        <v>115</v>
      </c>
      <c r="F99" s="3" t="s">
        <v>19</v>
      </c>
      <c r="G99" s="3" t="s">
        <v>19</v>
      </c>
      <c r="H99" s="3" t="s">
        <v>19</v>
      </c>
      <c r="I99" s="3" t="s">
        <v>18</v>
      </c>
      <c r="J99" s="3" t="str">
        <f t="shared" si="5"/>
        <v>NÃO</v>
      </c>
      <c r="K99" s="3" t="str">
        <f t="shared" si="3"/>
        <v>NOK</v>
      </c>
      <c r="L99" s="11" t="s">
        <v>57</v>
      </c>
      <c r="M99" s="3" t="s">
        <v>136</v>
      </c>
      <c r="N99" s="12" t="s">
        <v>84</v>
      </c>
      <c r="O99" s="3" t="str">
        <f>IF(B99="","",IFERROR(IF(VLOOKUP(B99,AUXILIAR!$O$2:$P$50,2,FALSE)="","CADASTRAR GERENTE",VLOOKUP(B99,AUXILIAR!$O$2:$P$50,2,FALSE)),"CADASTRAR GERENTE"))</f>
        <v>Neudo</v>
      </c>
      <c r="P99" s="3" t="str">
        <f t="shared" si="4"/>
        <v>yyyy0514-Loja Asa Norte-4013</v>
      </c>
    </row>
    <row r="100" spans="1:16" x14ac:dyDescent="0.25">
      <c r="A100" s="2">
        <v>46156</v>
      </c>
      <c r="B100" s="3" t="s">
        <v>102</v>
      </c>
      <c r="C100" s="3">
        <v>4014</v>
      </c>
      <c r="D100" s="3" t="s">
        <v>124</v>
      </c>
      <c r="E100" s="3" t="s">
        <v>115</v>
      </c>
      <c r="F100" s="3" t="s">
        <v>19</v>
      </c>
      <c r="G100" s="3" t="s">
        <v>19</v>
      </c>
      <c r="H100" s="3" t="s">
        <v>19</v>
      </c>
      <c r="I100" s="3" t="s">
        <v>18</v>
      </c>
      <c r="J100" s="3" t="str">
        <f t="shared" si="5"/>
        <v>NÃO</v>
      </c>
      <c r="K100" s="3" t="str">
        <f t="shared" si="3"/>
        <v>NOK</v>
      </c>
      <c r="L100" s="11" t="s">
        <v>57</v>
      </c>
      <c r="M100" s="3" t="s">
        <v>136</v>
      </c>
      <c r="N100" s="12" t="s">
        <v>84</v>
      </c>
      <c r="O100" s="3" t="str">
        <f>IF(B100="","",IFERROR(IF(VLOOKUP(B100,AUXILIAR!$O$2:$P$50,2,FALSE)="","CADASTRAR GERENTE",VLOOKUP(B100,AUXILIAR!$O$2:$P$50,2,FALSE)),"CADASTRAR GERENTE"))</f>
        <v>Neudo</v>
      </c>
      <c r="P100" s="3" t="str">
        <f t="shared" si="4"/>
        <v>yyyy0514-Loja Asa Norte-4014</v>
      </c>
    </row>
    <row r="101" spans="1:16" x14ac:dyDescent="0.25">
      <c r="A101" s="2">
        <v>46156</v>
      </c>
      <c r="B101" s="3" t="s">
        <v>106</v>
      </c>
      <c r="C101" s="3">
        <v>4015</v>
      </c>
      <c r="D101" s="3" t="s">
        <v>114</v>
      </c>
      <c r="E101" s="3" t="s">
        <v>115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tr">
        <f t="shared" si="5"/>
        <v>SIM</v>
      </c>
      <c r="K101" s="3" t="str">
        <f t="shared" si="3"/>
        <v>OK</v>
      </c>
      <c r="L101" s="11" t="s">
        <v>140</v>
      </c>
      <c r="M101" s="3"/>
      <c r="N101" s="12" t="s">
        <v>84</v>
      </c>
      <c r="O101" s="3" t="str">
        <f>IF(B101="","",IFERROR(IF(VLOOKUP(B101,AUXILIAR!$O$2:$P$50,2,FALSE)="","CADASTRAR GERENTE",VLOOKUP(B101,AUXILIAR!$O$2:$P$50,2,FALSE)),"CADASTRAR GERENTE"))</f>
        <v>Danilo</v>
      </c>
      <c r="P101" s="3" t="str">
        <f t="shared" si="4"/>
        <v>yyyy0514-Loja ADE-4015</v>
      </c>
    </row>
    <row r="102" spans="1:16" x14ac:dyDescent="0.25">
      <c r="A102" s="2">
        <v>46156</v>
      </c>
      <c r="B102" s="3" t="s">
        <v>102</v>
      </c>
      <c r="C102" s="3">
        <v>4016</v>
      </c>
      <c r="D102" s="3" t="s">
        <v>124</v>
      </c>
      <c r="E102" s="3" t="s">
        <v>115</v>
      </c>
      <c r="F102" s="3" t="s">
        <v>19</v>
      </c>
      <c r="G102" s="3" t="s">
        <v>19</v>
      </c>
      <c r="H102" s="3" t="s">
        <v>19</v>
      </c>
      <c r="I102" s="3" t="s">
        <v>18</v>
      </c>
      <c r="J102" s="3" t="str">
        <f t="shared" si="5"/>
        <v>NÃO</v>
      </c>
      <c r="K102" s="3" t="str">
        <f t="shared" si="3"/>
        <v>NOK</v>
      </c>
      <c r="L102" s="11" t="s">
        <v>57</v>
      </c>
      <c r="M102" s="3" t="s">
        <v>136</v>
      </c>
      <c r="N102" s="12" t="s">
        <v>84</v>
      </c>
      <c r="O102" s="3" t="str">
        <f>IF(B102="","",IFERROR(IF(VLOOKUP(B102,AUXILIAR!$O$2:$P$50,2,FALSE)="","CADASTRAR GERENTE",VLOOKUP(B102,AUXILIAR!$O$2:$P$50,2,FALSE)),"CADASTRAR GERENTE"))</f>
        <v>Neudo</v>
      </c>
      <c r="P102" s="3" t="str">
        <f t="shared" si="4"/>
        <v>yyyy0514-Loja Asa Norte-4016</v>
      </c>
    </row>
    <row r="103" spans="1:16" x14ac:dyDescent="0.25">
      <c r="A103" s="2">
        <v>46156</v>
      </c>
      <c r="B103" s="3" t="s">
        <v>101</v>
      </c>
      <c r="C103" s="3">
        <v>4017</v>
      </c>
      <c r="D103" s="3" t="s">
        <v>114</v>
      </c>
      <c r="E103" s="3" t="s">
        <v>115</v>
      </c>
      <c r="F103" s="3" t="s">
        <v>18</v>
      </c>
      <c r="G103" s="3" t="s">
        <v>18</v>
      </c>
      <c r="H103" s="3" t="s">
        <v>18</v>
      </c>
      <c r="I103" s="3" t="s">
        <v>18</v>
      </c>
      <c r="J103" s="3" t="str">
        <f t="shared" si="5"/>
        <v>SIM</v>
      </c>
      <c r="K103" s="3" t="str">
        <f t="shared" si="3"/>
        <v>OK</v>
      </c>
      <c r="L103" s="11" t="s">
        <v>42</v>
      </c>
      <c r="M103" s="3"/>
      <c r="N103" s="12" t="s">
        <v>84</v>
      </c>
      <c r="O103" s="3" t="str">
        <f>IF(B103="","",IFERROR(IF(VLOOKUP(B103,AUXILIAR!$O$2:$P$50,2,FALSE)="","CADASTRAR GERENTE",VLOOKUP(B103,AUXILIAR!$O$2:$P$50,2,FALSE)),"CADASTRAR GERENTE"))</f>
        <v>Cinthya</v>
      </c>
      <c r="P103" s="3" t="str">
        <f t="shared" si="4"/>
        <v>yyyy0514-Loja Pistão-4017</v>
      </c>
    </row>
    <row r="104" spans="1:16" x14ac:dyDescent="0.25">
      <c r="A104" s="2">
        <v>46156</v>
      </c>
      <c r="B104" s="3" t="s">
        <v>101</v>
      </c>
      <c r="C104" s="3">
        <v>4018</v>
      </c>
      <c r="D104" s="3" t="s">
        <v>114</v>
      </c>
      <c r="E104" s="3" t="s">
        <v>115</v>
      </c>
      <c r="F104" s="3" t="s">
        <v>18</v>
      </c>
      <c r="G104" s="3" t="s">
        <v>18</v>
      </c>
      <c r="H104" s="3" t="s">
        <v>18</v>
      </c>
      <c r="I104" s="3" t="s">
        <v>18</v>
      </c>
      <c r="J104" s="3" t="str">
        <f t="shared" si="5"/>
        <v>SIM</v>
      </c>
      <c r="K104" s="3" t="str">
        <f t="shared" si="3"/>
        <v>OK</v>
      </c>
      <c r="L104" s="11" t="s">
        <v>42</v>
      </c>
      <c r="M104" s="3"/>
      <c r="N104" s="12" t="s">
        <v>84</v>
      </c>
      <c r="O104" s="3" t="str">
        <f>IF(B104="","",IFERROR(IF(VLOOKUP(B104,AUXILIAR!$O$2:$P$50,2,FALSE)="","CADASTRAR GERENTE",VLOOKUP(B104,AUXILIAR!$O$2:$P$50,2,FALSE)),"CADASTRAR GERENTE"))</f>
        <v>Cinthya</v>
      </c>
      <c r="P104" s="3" t="str">
        <f t="shared" si="4"/>
        <v>yyyy0514-Loja Pistão-4018</v>
      </c>
    </row>
    <row r="105" spans="1:16" x14ac:dyDescent="0.25">
      <c r="A105" s="2">
        <v>46156</v>
      </c>
      <c r="B105" s="3" t="s">
        <v>102</v>
      </c>
      <c r="C105" s="3">
        <v>4019</v>
      </c>
      <c r="D105" s="3" t="s">
        <v>124</v>
      </c>
      <c r="E105" s="3" t="s">
        <v>55</v>
      </c>
      <c r="F105" s="3"/>
      <c r="G105" s="3"/>
      <c r="H105" s="3"/>
      <c r="I105" s="3"/>
      <c r="J105" s="3" t="str">
        <f t="shared" si="5"/>
        <v xml:space="preserve"> </v>
      </c>
      <c r="K105" s="3" t="str">
        <f t="shared" si="3"/>
        <v>NOK</v>
      </c>
      <c r="L105" s="11" t="s">
        <v>56</v>
      </c>
      <c r="M105" s="3"/>
      <c r="N105" s="12" t="s">
        <v>84</v>
      </c>
      <c r="O105" s="3" t="str">
        <f>IF(B105="","",IFERROR(IF(VLOOKUP(B105,AUXILIAR!$O$2:$P$50,2,FALSE)="","CADASTRAR GERENTE",VLOOKUP(B105,AUXILIAR!$O$2:$P$50,2,FALSE)),"CADASTRAR GERENTE"))</f>
        <v>Neudo</v>
      </c>
      <c r="P105" s="3" t="str">
        <f t="shared" si="4"/>
        <v>yyyy0514-Loja Asa Norte-4019</v>
      </c>
    </row>
    <row r="106" spans="1:16" x14ac:dyDescent="0.25">
      <c r="A106" s="2">
        <v>46156</v>
      </c>
      <c r="B106" s="3" t="s">
        <v>101</v>
      </c>
      <c r="C106" s="3">
        <v>4020</v>
      </c>
      <c r="D106" s="3" t="s">
        <v>114</v>
      </c>
      <c r="E106" s="3" t="s">
        <v>115</v>
      </c>
      <c r="F106" s="3" t="s">
        <v>18</v>
      </c>
      <c r="G106" s="3" t="s">
        <v>18</v>
      </c>
      <c r="H106" s="3" t="s">
        <v>18</v>
      </c>
      <c r="I106" s="3" t="s">
        <v>18</v>
      </c>
      <c r="J106" s="3" t="str">
        <f t="shared" si="5"/>
        <v>SIM</v>
      </c>
      <c r="K106" s="3" t="str">
        <f t="shared" si="3"/>
        <v>OK</v>
      </c>
      <c r="L106" s="11" t="s">
        <v>42</v>
      </c>
      <c r="M106" s="3"/>
      <c r="N106" s="12" t="s">
        <v>84</v>
      </c>
      <c r="O106" s="3" t="str">
        <f>IF(B106="","",IFERROR(IF(VLOOKUP(B106,AUXILIAR!$O$2:$P$50,2,FALSE)="","CADASTRAR GERENTE",VLOOKUP(B106,AUXILIAR!$O$2:$P$50,2,FALSE)),"CADASTRAR GERENTE"))</f>
        <v>Cinthya</v>
      </c>
      <c r="P106" s="3" t="str">
        <f t="shared" si="4"/>
        <v>yyyy0514-Loja Pistão-4020</v>
      </c>
    </row>
    <row r="107" spans="1:16" x14ac:dyDescent="0.25">
      <c r="A107" s="2">
        <v>46156</v>
      </c>
      <c r="B107" s="3" t="s">
        <v>102</v>
      </c>
      <c r="C107" s="3">
        <v>4022</v>
      </c>
      <c r="D107" s="3" t="s">
        <v>124</v>
      </c>
      <c r="E107" s="3" t="s">
        <v>55</v>
      </c>
      <c r="F107" s="3"/>
      <c r="G107" s="3"/>
      <c r="H107" s="3"/>
      <c r="I107" s="3"/>
      <c r="J107" s="3" t="str">
        <f t="shared" si="5"/>
        <v xml:space="preserve"> </v>
      </c>
      <c r="K107" s="3" t="str">
        <f t="shared" si="3"/>
        <v>NOK</v>
      </c>
      <c r="L107" s="11" t="s">
        <v>56</v>
      </c>
      <c r="M107" s="3"/>
      <c r="N107" s="12" t="s">
        <v>84</v>
      </c>
      <c r="O107" s="3" t="str">
        <f>IF(B107="","",IFERROR(IF(VLOOKUP(B107,AUXILIAR!$O$2:$P$50,2,FALSE)="","CADASTRAR GERENTE",VLOOKUP(B107,AUXILIAR!$O$2:$P$50,2,FALSE)),"CADASTRAR GERENTE"))</f>
        <v>Neudo</v>
      </c>
      <c r="P107" s="3" t="str">
        <f t="shared" si="4"/>
        <v>yyyy0514-Loja Asa Norte-4022</v>
      </c>
    </row>
    <row r="108" spans="1:16" x14ac:dyDescent="0.25">
      <c r="A108" s="2">
        <v>46156</v>
      </c>
      <c r="B108" s="3" t="s">
        <v>102</v>
      </c>
      <c r="C108" s="3">
        <v>4023</v>
      </c>
      <c r="D108" s="3" t="s">
        <v>124</v>
      </c>
      <c r="E108" s="3" t="s">
        <v>55</v>
      </c>
      <c r="F108" s="3"/>
      <c r="G108" s="3"/>
      <c r="H108" s="3"/>
      <c r="I108" s="3"/>
      <c r="J108" s="3" t="str">
        <f t="shared" si="5"/>
        <v xml:space="preserve"> </v>
      </c>
      <c r="K108" s="3" t="str">
        <f t="shared" si="3"/>
        <v>NOK</v>
      </c>
      <c r="L108" s="11" t="s">
        <v>56</v>
      </c>
      <c r="M108" s="3"/>
      <c r="N108" s="12" t="s">
        <v>84</v>
      </c>
      <c r="O108" s="3" t="str">
        <f>IF(B108="","",IFERROR(IF(VLOOKUP(B108,AUXILIAR!$O$2:$P$50,2,FALSE)="","CADASTRAR GERENTE",VLOOKUP(B108,AUXILIAR!$O$2:$P$50,2,FALSE)),"CADASTRAR GERENTE"))</f>
        <v>Neudo</v>
      </c>
      <c r="P108" s="3" t="str">
        <f t="shared" si="4"/>
        <v>yyyy0514-Loja Asa Norte-4023</v>
      </c>
    </row>
    <row r="109" spans="1:16" x14ac:dyDescent="0.25">
      <c r="A109" s="2">
        <v>46156</v>
      </c>
      <c r="B109" s="3" t="s">
        <v>101</v>
      </c>
      <c r="C109" s="3">
        <v>4025</v>
      </c>
      <c r="D109" s="3" t="s">
        <v>114</v>
      </c>
      <c r="E109" s="3" t="s">
        <v>115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tr">
        <f t="shared" si="5"/>
        <v>SIM</v>
      </c>
      <c r="K109" s="3" t="str">
        <f t="shared" si="3"/>
        <v>OK</v>
      </c>
      <c r="L109" s="11" t="s">
        <v>42</v>
      </c>
      <c r="M109" s="3"/>
      <c r="N109" s="12" t="s">
        <v>84</v>
      </c>
      <c r="O109" s="3" t="str">
        <f>IF(B109="","",IFERROR(IF(VLOOKUP(B109,AUXILIAR!$O$2:$P$50,2,FALSE)="","CADASTRAR GERENTE",VLOOKUP(B109,AUXILIAR!$O$2:$P$50,2,FALSE)),"CADASTRAR GERENTE"))</f>
        <v>Cinthya</v>
      </c>
      <c r="P109" s="3" t="str">
        <f t="shared" si="4"/>
        <v>yyyy0514-Loja Pistão-4025</v>
      </c>
    </row>
    <row r="110" spans="1:16" x14ac:dyDescent="0.25">
      <c r="A110" s="2">
        <v>46156</v>
      </c>
      <c r="B110" s="3" t="s">
        <v>101</v>
      </c>
      <c r="C110" s="3">
        <v>4026</v>
      </c>
      <c r="D110" s="3" t="s">
        <v>114</v>
      </c>
      <c r="E110" s="3" t="s">
        <v>115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tr">
        <f t="shared" si="5"/>
        <v>SIM</v>
      </c>
      <c r="K110" s="3" t="str">
        <f t="shared" si="3"/>
        <v>OK</v>
      </c>
      <c r="L110" s="11" t="s">
        <v>42</v>
      </c>
      <c r="M110" s="3"/>
      <c r="N110" s="12" t="s">
        <v>84</v>
      </c>
      <c r="O110" s="3" t="str">
        <f>IF(B110="","",IFERROR(IF(VLOOKUP(B110,AUXILIAR!$O$2:$P$50,2,FALSE)="","CADASTRAR GERENTE",VLOOKUP(B110,AUXILIAR!$O$2:$P$50,2,FALSE)),"CADASTRAR GERENTE"))</f>
        <v>Cinthya</v>
      </c>
      <c r="P110" s="3" t="str">
        <f t="shared" si="4"/>
        <v>yyyy0514-Loja Pistão-4026</v>
      </c>
    </row>
    <row r="111" spans="1:16" x14ac:dyDescent="0.25">
      <c r="A111" s="2">
        <v>46156</v>
      </c>
      <c r="B111" s="3" t="s">
        <v>101</v>
      </c>
      <c r="C111" s="3">
        <v>4027</v>
      </c>
      <c r="D111" s="3" t="s">
        <v>114</v>
      </c>
      <c r="E111" s="3" t="s">
        <v>115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tr">
        <f t="shared" si="5"/>
        <v>SIM</v>
      </c>
      <c r="K111" s="3" t="str">
        <f t="shared" si="3"/>
        <v>OK</v>
      </c>
      <c r="L111" s="11" t="s">
        <v>42</v>
      </c>
      <c r="M111" s="3"/>
      <c r="N111" s="12" t="s">
        <v>84</v>
      </c>
      <c r="O111" s="3" t="str">
        <f>IF(B111="","",IFERROR(IF(VLOOKUP(B111,AUXILIAR!$O$2:$P$50,2,FALSE)="","CADASTRAR GERENTE",VLOOKUP(B111,AUXILIAR!$O$2:$P$50,2,FALSE)),"CADASTRAR GERENTE"))</f>
        <v>Cinthya</v>
      </c>
      <c r="P111" s="3" t="str">
        <f t="shared" si="4"/>
        <v>yyyy0514-Loja Pistão-4027</v>
      </c>
    </row>
    <row r="112" spans="1:16" x14ac:dyDescent="0.25">
      <c r="A112" s="2">
        <v>46156</v>
      </c>
      <c r="B112" s="3" t="s">
        <v>106</v>
      </c>
      <c r="C112" s="3">
        <v>4028</v>
      </c>
      <c r="D112" s="3" t="s">
        <v>114</v>
      </c>
      <c r="E112" s="3" t="s">
        <v>115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tr">
        <f t="shared" si="5"/>
        <v>SIM</v>
      </c>
      <c r="K112" s="3" t="str">
        <f t="shared" si="3"/>
        <v>OK</v>
      </c>
      <c r="L112" s="11" t="s">
        <v>42</v>
      </c>
      <c r="M112" s="3"/>
      <c r="N112" s="12" t="s">
        <v>84</v>
      </c>
      <c r="O112" s="3" t="str">
        <f>IF(B112="","",IFERROR(IF(VLOOKUP(B112,AUXILIAR!$O$2:$P$50,2,FALSE)="","CADASTRAR GERENTE",VLOOKUP(B112,AUXILIAR!$O$2:$P$50,2,FALSE)),"CADASTRAR GERENTE"))</f>
        <v>Danilo</v>
      </c>
      <c r="P112" s="3" t="str">
        <f t="shared" si="4"/>
        <v>yyyy0514-Loja ADE-4028</v>
      </c>
    </row>
    <row r="113" spans="1:16" x14ac:dyDescent="0.25">
      <c r="A113" s="2">
        <v>46156</v>
      </c>
      <c r="B113" s="3" t="s">
        <v>106</v>
      </c>
      <c r="C113" s="3">
        <v>4029</v>
      </c>
      <c r="D113" s="3" t="s">
        <v>114</v>
      </c>
      <c r="E113" s="3" t="s">
        <v>55</v>
      </c>
      <c r="F113" s="3"/>
      <c r="G113" s="3"/>
      <c r="H113" s="3"/>
      <c r="I113" s="3"/>
      <c r="J113" s="3" t="str">
        <f t="shared" si="5"/>
        <v xml:space="preserve"> </v>
      </c>
      <c r="K113" s="3" t="str">
        <f t="shared" si="3"/>
        <v>NOK</v>
      </c>
      <c r="L113" s="11" t="s">
        <v>56</v>
      </c>
      <c r="M113" s="3"/>
      <c r="N113" s="12" t="s">
        <v>84</v>
      </c>
      <c r="O113" s="3" t="str">
        <f>IF(B113="","",IFERROR(IF(VLOOKUP(B113,AUXILIAR!$O$2:$P$50,2,FALSE)="","CADASTRAR GERENTE",VLOOKUP(B113,AUXILIAR!$O$2:$P$50,2,FALSE)),"CADASTRAR GERENTE"))</f>
        <v>Danilo</v>
      </c>
      <c r="P113" s="3" t="str">
        <f t="shared" si="4"/>
        <v>yyyy0514-Loja ADE-4029</v>
      </c>
    </row>
    <row r="114" spans="1:16" x14ac:dyDescent="0.25">
      <c r="A114" s="2">
        <v>46156</v>
      </c>
      <c r="B114" s="3" t="s">
        <v>102</v>
      </c>
      <c r="C114" s="3">
        <v>4030</v>
      </c>
      <c r="D114" s="3" t="s">
        <v>124</v>
      </c>
      <c r="E114" s="3" t="s">
        <v>115</v>
      </c>
      <c r="F114" s="3" t="s">
        <v>19</v>
      </c>
      <c r="G114" s="3" t="s">
        <v>19</v>
      </c>
      <c r="H114" s="3" t="s">
        <v>19</v>
      </c>
      <c r="I114" s="3" t="s">
        <v>18</v>
      </c>
      <c r="J114" s="3" t="str">
        <f t="shared" si="5"/>
        <v>NÃO</v>
      </c>
      <c r="K114" s="3" t="str">
        <f t="shared" si="3"/>
        <v>NOK</v>
      </c>
      <c r="L114" s="11" t="s">
        <v>57</v>
      </c>
      <c r="M114" s="3" t="s">
        <v>136</v>
      </c>
      <c r="N114" s="12" t="s">
        <v>84</v>
      </c>
      <c r="O114" s="3" t="str">
        <f>IF(B114="","",IFERROR(IF(VLOOKUP(B114,AUXILIAR!$O$2:$P$50,2,FALSE)="","CADASTRAR GERENTE",VLOOKUP(B114,AUXILIAR!$O$2:$P$50,2,FALSE)),"CADASTRAR GERENTE"))</f>
        <v>Neudo</v>
      </c>
      <c r="P114" s="3" t="str">
        <f t="shared" si="4"/>
        <v>yyyy0514-Loja Asa Norte-4030</v>
      </c>
    </row>
    <row r="115" spans="1:16" x14ac:dyDescent="0.25">
      <c r="A115" s="2">
        <v>46156</v>
      </c>
      <c r="B115" s="3" t="s">
        <v>101</v>
      </c>
      <c r="C115" s="3">
        <v>4031</v>
      </c>
      <c r="D115" s="3" t="s">
        <v>114</v>
      </c>
      <c r="E115" s="3" t="s">
        <v>115</v>
      </c>
      <c r="F115" s="3" t="s">
        <v>18</v>
      </c>
      <c r="G115" s="3" t="s">
        <v>18</v>
      </c>
      <c r="H115" s="3" t="s">
        <v>18</v>
      </c>
      <c r="I115" s="3" t="s">
        <v>18</v>
      </c>
      <c r="J115" s="3" t="str">
        <f t="shared" si="5"/>
        <v>SIM</v>
      </c>
      <c r="K115" s="3" t="str">
        <f t="shared" si="3"/>
        <v>OK</v>
      </c>
      <c r="L115" s="11" t="s">
        <v>140</v>
      </c>
      <c r="M115" s="3"/>
      <c r="N115" s="12" t="s">
        <v>84</v>
      </c>
      <c r="O115" s="3" t="str">
        <f>IF(B115="","",IFERROR(IF(VLOOKUP(B115,AUXILIAR!$O$2:$P$50,2,FALSE)="","CADASTRAR GERENTE",VLOOKUP(B115,AUXILIAR!$O$2:$P$50,2,FALSE)),"CADASTRAR GERENTE"))</f>
        <v>Cinthya</v>
      </c>
      <c r="P115" s="3" t="str">
        <f t="shared" si="4"/>
        <v>yyyy0514-Loja Pistão-4031</v>
      </c>
    </row>
    <row r="116" spans="1:16" x14ac:dyDescent="0.25">
      <c r="A116" s="2">
        <v>46156</v>
      </c>
      <c r="B116" s="3" t="s">
        <v>102</v>
      </c>
      <c r="C116" s="3">
        <v>4032</v>
      </c>
      <c r="D116" s="3" t="s">
        <v>124</v>
      </c>
      <c r="E116" s="3" t="s">
        <v>55</v>
      </c>
      <c r="F116" s="3"/>
      <c r="G116" s="3"/>
      <c r="H116" s="3"/>
      <c r="I116" s="3"/>
      <c r="J116" s="3" t="str">
        <f t="shared" si="5"/>
        <v xml:space="preserve"> </v>
      </c>
      <c r="K116" s="3" t="str">
        <f t="shared" si="3"/>
        <v>NOK</v>
      </c>
      <c r="L116" s="11" t="s">
        <v>56</v>
      </c>
      <c r="M116" s="3"/>
      <c r="N116" s="12" t="s">
        <v>84</v>
      </c>
      <c r="O116" s="3" t="str">
        <f>IF(B116="","",IFERROR(IF(VLOOKUP(B116,AUXILIAR!$O$2:$P$50,2,FALSE)="","CADASTRAR GERENTE",VLOOKUP(B116,AUXILIAR!$O$2:$P$50,2,FALSE)),"CADASTRAR GERENTE"))</f>
        <v>Neudo</v>
      </c>
      <c r="P116" s="3" t="str">
        <f t="shared" si="4"/>
        <v>yyyy0514-Loja Asa Norte-4032</v>
      </c>
    </row>
    <row r="117" spans="1:16" x14ac:dyDescent="0.25">
      <c r="A117" s="2">
        <v>46156</v>
      </c>
      <c r="B117" s="3" t="s">
        <v>101</v>
      </c>
      <c r="C117" s="3">
        <v>4033</v>
      </c>
      <c r="D117" s="3" t="s">
        <v>114</v>
      </c>
      <c r="E117" s="3" t="s">
        <v>115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tr">
        <f t="shared" si="5"/>
        <v>SIM</v>
      </c>
      <c r="K117" s="3" t="str">
        <f t="shared" si="3"/>
        <v>OK</v>
      </c>
      <c r="L117" s="11" t="s">
        <v>42</v>
      </c>
      <c r="M117" s="3"/>
      <c r="N117" s="12" t="s">
        <v>84</v>
      </c>
      <c r="O117" s="3" t="str">
        <f>IF(B117="","",IFERROR(IF(VLOOKUP(B117,AUXILIAR!$O$2:$P$50,2,FALSE)="","CADASTRAR GERENTE",VLOOKUP(B117,AUXILIAR!$O$2:$P$50,2,FALSE)),"CADASTRAR GERENTE"))</f>
        <v>Cinthya</v>
      </c>
      <c r="P117" s="3" t="str">
        <f t="shared" si="4"/>
        <v>yyyy0514-Loja Pistão-4033</v>
      </c>
    </row>
    <row r="118" spans="1:16" x14ac:dyDescent="0.25">
      <c r="A118" s="2">
        <v>46156</v>
      </c>
      <c r="B118" s="3" t="s">
        <v>102</v>
      </c>
      <c r="C118" s="3">
        <v>4034</v>
      </c>
      <c r="D118" s="3" t="s">
        <v>124</v>
      </c>
      <c r="E118" s="3" t="s">
        <v>55</v>
      </c>
      <c r="F118" s="3"/>
      <c r="G118" s="3"/>
      <c r="H118" s="3"/>
      <c r="I118" s="3"/>
      <c r="J118" s="3" t="str">
        <f t="shared" si="5"/>
        <v xml:space="preserve"> </v>
      </c>
      <c r="K118" s="3" t="str">
        <f t="shared" si="3"/>
        <v>NOK</v>
      </c>
      <c r="L118" s="11" t="s">
        <v>56</v>
      </c>
      <c r="M118" s="3"/>
      <c r="N118" s="12" t="s">
        <v>84</v>
      </c>
      <c r="O118" s="3" t="str">
        <f>IF(B118="","",IFERROR(IF(VLOOKUP(B118,AUXILIAR!$O$2:$P$50,2,FALSE)="","CADASTRAR GERENTE",VLOOKUP(B118,AUXILIAR!$O$2:$P$50,2,FALSE)),"CADASTRAR GERENTE"))</f>
        <v>Neudo</v>
      </c>
      <c r="P118" s="3" t="str">
        <f t="shared" si="4"/>
        <v>yyyy0514-Loja Asa Norte-4034</v>
      </c>
    </row>
    <row r="119" spans="1:16" x14ac:dyDescent="0.25">
      <c r="A119" s="2">
        <v>46156</v>
      </c>
      <c r="B119" s="3" t="s">
        <v>102</v>
      </c>
      <c r="C119" s="3">
        <v>4035</v>
      </c>
      <c r="D119" s="3" t="s">
        <v>124</v>
      </c>
      <c r="E119" s="3" t="s">
        <v>55</v>
      </c>
      <c r="F119" s="3"/>
      <c r="G119" s="3"/>
      <c r="H119" s="3"/>
      <c r="I119" s="3"/>
      <c r="J119" s="3" t="str">
        <f t="shared" si="5"/>
        <v xml:space="preserve"> </v>
      </c>
      <c r="K119" s="3" t="str">
        <f t="shared" si="3"/>
        <v>NOK</v>
      </c>
      <c r="L119" s="11" t="s">
        <v>56</v>
      </c>
      <c r="M119" s="3"/>
      <c r="N119" s="12" t="s">
        <v>84</v>
      </c>
      <c r="O119" s="3" t="str">
        <f>IF(B119="","",IFERROR(IF(VLOOKUP(B119,AUXILIAR!$O$2:$P$50,2,FALSE)="","CADASTRAR GERENTE",VLOOKUP(B119,AUXILIAR!$O$2:$P$50,2,FALSE)),"CADASTRAR GERENTE"))</f>
        <v>Neudo</v>
      </c>
      <c r="P119" s="3" t="str">
        <f t="shared" si="4"/>
        <v>yyyy0514-Loja Asa Norte-4035</v>
      </c>
    </row>
    <row r="120" spans="1:16" x14ac:dyDescent="0.25">
      <c r="A120" s="2">
        <v>46157</v>
      </c>
      <c r="B120" s="3" t="s">
        <v>106</v>
      </c>
      <c r="C120" s="3">
        <v>4036</v>
      </c>
      <c r="D120" s="3" t="s">
        <v>114</v>
      </c>
      <c r="E120" s="3" t="s">
        <v>115</v>
      </c>
      <c r="F120" s="3" t="s">
        <v>18</v>
      </c>
      <c r="G120" s="3" t="s">
        <v>18</v>
      </c>
      <c r="H120" s="3" t="s">
        <v>18</v>
      </c>
      <c r="I120" s="3" t="s">
        <v>18</v>
      </c>
      <c r="J120" s="3" t="str">
        <f t="shared" ref="J120:J183" si="6">IF(C120="","",IF(E120="Retorno Total"," ",IF(E120="Cancelado"," ",IF(AND(G120="SIM",H120="SIM"),"SIM","NÃO"))))</f>
        <v>SIM</v>
      </c>
      <c r="K120" s="3" t="str">
        <f t="shared" ref="K120:K183" si="7">IF(C120="","",IF(AND(F120="SIM",I120="SIM",J120="SIM"),"OK","NOK"))</f>
        <v>OK</v>
      </c>
      <c r="L120" s="11" t="s">
        <v>42</v>
      </c>
      <c r="M120" s="3"/>
      <c r="N120" s="12" t="s">
        <v>84</v>
      </c>
      <c r="O120" s="3" t="str">
        <f>IF(B120="","",IFERROR(IF(VLOOKUP(B120,AUXILIAR!$O$2:$P$50,2,FALSE)="","CADASTRAR GERENTE",VLOOKUP(B120,AUXILIAR!$O$2:$P$50,2,FALSE)),"CADASTRAR GERENTE"))</f>
        <v>Danilo</v>
      </c>
      <c r="P120" s="3" t="str">
        <f t="shared" ref="P120:P131" si="8">IF(C120="","",TEXT(A120,"yyyymmdd")&amp;"-"&amp;B120&amp;"-"&amp;C120)</f>
        <v>yyyy0515-Loja ADE-4036</v>
      </c>
    </row>
    <row r="121" spans="1:16" x14ac:dyDescent="0.25">
      <c r="A121" s="2">
        <v>46157</v>
      </c>
      <c r="B121" s="3" t="s">
        <v>101</v>
      </c>
      <c r="C121" s="3">
        <v>4037</v>
      </c>
      <c r="D121" s="3" t="s">
        <v>114</v>
      </c>
      <c r="E121" s="3" t="s">
        <v>115</v>
      </c>
      <c r="F121" s="3" t="s">
        <v>18</v>
      </c>
      <c r="G121" s="3" t="s">
        <v>18</v>
      </c>
      <c r="H121" s="3" t="s">
        <v>18</v>
      </c>
      <c r="I121" s="3" t="s">
        <v>18</v>
      </c>
      <c r="J121" s="3" t="str">
        <f t="shared" si="6"/>
        <v>SIM</v>
      </c>
      <c r="K121" s="3" t="str">
        <f t="shared" si="7"/>
        <v>OK</v>
      </c>
      <c r="L121" s="11" t="s">
        <v>42</v>
      </c>
      <c r="M121" s="3"/>
      <c r="N121" s="12" t="s">
        <v>84</v>
      </c>
      <c r="O121" s="3" t="str">
        <f>IF(B121="","",IFERROR(IF(VLOOKUP(B121,AUXILIAR!$O$2:$P$50,2,FALSE)="","CADASTRAR GERENTE",VLOOKUP(B121,AUXILIAR!$O$2:$P$50,2,FALSE)),"CADASTRAR GERENTE"))</f>
        <v>Cinthya</v>
      </c>
      <c r="P121" s="3" t="str">
        <f t="shared" si="8"/>
        <v>yyyy0515-Loja Pistão-4037</v>
      </c>
    </row>
    <row r="122" spans="1:16" x14ac:dyDescent="0.25">
      <c r="A122" s="2">
        <v>46157</v>
      </c>
      <c r="B122" s="3" t="s">
        <v>101</v>
      </c>
      <c r="C122" s="3">
        <v>4038</v>
      </c>
      <c r="D122" s="3" t="s">
        <v>114</v>
      </c>
      <c r="E122" s="3" t="s">
        <v>115</v>
      </c>
      <c r="F122" s="3" t="s">
        <v>18</v>
      </c>
      <c r="G122" s="3" t="s">
        <v>18</v>
      </c>
      <c r="H122" s="3" t="s">
        <v>18</v>
      </c>
      <c r="I122" s="3" t="s">
        <v>18</v>
      </c>
      <c r="J122" s="3" t="str">
        <f t="shared" si="6"/>
        <v>SIM</v>
      </c>
      <c r="K122" s="3" t="str">
        <f t="shared" si="7"/>
        <v>OK</v>
      </c>
      <c r="L122" s="11" t="s">
        <v>140</v>
      </c>
      <c r="M122" s="3"/>
      <c r="N122" s="12" t="s">
        <v>84</v>
      </c>
      <c r="O122" s="3" t="str">
        <f>IF(B122="","",IFERROR(IF(VLOOKUP(B122,AUXILIAR!$O$2:$P$50,2,FALSE)="","CADASTRAR GERENTE",VLOOKUP(B122,AUXILIAR!$O$2:$P$50,2,FALSE)),"CADASTRAR GERENTE"))</f>
        <v>Cinthya</v>
      </c>
      <c r="P122" s="3" t="str">
        <f t="shared" si="8"/>
        <v>yyyy0515-Loja Pistão-4038</v>
      </c>
    </row>
    <row r="123" spans="1:16" x14ac:dyDescent="0.25">
      <c r="A123" s="2">
        <v>46157</v>
      </c>
      <c r="B123" s="3" t="s">
        <v>102</v>
      </c>
      <c r="C123" s="3">
        <v>4039</v>
      </c>
      <c r="D123" s="3" t="s">
        <v>124</v>
      </c>
      <c r="E123" s="3" t="s">
        <v>55</v>
      </c>
      <c r="F123" s="3"/>
      <c r="G123" s="3"/>
      <c r="H123" s="3"/>
      <c r="I123" s="3"/>
      <c r="J123" s="3" t="str">
        <f t="shared" si="6"/>
        <v xml:space="preserve"> </v>
      </c>
      <c r="K123" s="3" t="str">
        <f t="shared" si="7"/>
        <v>NOK</v>
      </c>
      <c r="L123" s="11" t="s">
        <v>56</v>
      </c>
      <c r="M123" s="3"/>
      <c r="N123" s="12" t="s">
        <v>84</v>
      </c>
      <c r="O123" s="3" t="str">
        <f>IF(B123="","",IFERROR(IF(VLOOKUP(B123,AUXILIAR!$O$2:$P$50,2,FALSE)="","CADASTRAR GERENTE",VLOOKUP(B123,AUXILIAR!$O$2:$P$50,2,FALSE)),"CADASTRAR GERENTE"))</f>
        <v>Neudo</v>
      </c>
      <c r="P123" s="3" t="str">
        <f t="shared" si="8"/>
        <v>yyyy0515-Loja Asa Norte-4039</v>
      </c>
    </row>
    <row r="124" spans="1:16" x14ac:dyDescent="0.25">
      <c r="A124" s="2">
        <v>46157</v>
      </c>
      <c r="B124" s="3" t="s">
        <v>101</v>
      </c>
      <c r="C124" s="3">
        <v>4040</v>
      </c>
      <c r="D124" s="3" t="s">
        <v>114</v>
      </c>
      <c r="E124" s="3" t="s">
        <v>115</v>
      </c>
      <c r="F124" s="3" t="s">
        <v>18</v>
      </c>
      <c r="G124" s="3" t="s">
        <v>18</v>
      </c>
      <c r="H124" s="3" t="s">
        <v>18</v>
      </c>
      <c r="I124" s="3" t="s">
        <v>18</v>
      </c>
      <c r="J124" s="3" t="str">
        <f t="shared" si="6"/>
        <v>SIM</v>
      </c>
      <c r="K124" s="3" t="str">
        <f t="shared" si="7"/>
        <v>OK</v>
      </c>
      <c r="L124" s="11" t="s">
        <v>140</v>
      </c>
      <c r="M124" s="3"/>
      <c r="N124" s="12" t="s">
        <v>84</v>
      </c>
      <c r="O124" s="3" t="str">
        <f>IF(B124="","",IFERROR(IF(VLOOKUP(B124,AUXILIAR!$O$2:$P$50,2,FALSE)="","CADASTRAR GERENTE",VLOOKUP(B124,AUXILIAR!$O$2:$P$50,2,FALSE)),"CADASTRAR GERENTE"))</f>
        <v>Cinthya</v>
      </c>
      <c r="P124" s="3" t="str">
        <f t="shared" si="8"/>
        <v>yyyy0515-Loja Pistão-4040</v>
      </c>
    </row>
    <row r="125" spans="1:16" x14ac:dyDescent="0.25">
      <c r="A125" s="2">
        <v>46157</v>
      </c>
      <c r="B125" s="3" t="s">
        <v>101</v>
      </c>
      <c r="C125" s="3">
        <v>4041</v>
      </c>
      <c r="D125" s="3" t="s">
        <v>114</v>
      </c>
      <c r="E125" s="3" t="s">
        <v>115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tr">
        <f t="shared" si="6"/>
        <v>SIM</v>
      </c>
      <c r="K125" s="3" t="str">
        <f t="shared" si="7"/>
        <v>OK</v>
      </c>
      <c r="L125" s="11" t="s">
        <v>140</v>
      </c>
      <c r="M125" s="3"/>
      <c r="N125" s="12" t="s">
        <v>84</v>
      </c>
      <c r="O125" s="3" t="str">
        <f>IF(B125="","",IFERROR(IF(VLOOKUP(B125,AUXILIAR!$O$2:$P$50,2,FALSE)="","CADASTRAR GERENTE",VLOOKUP(B125,AUXILIAR!$O$2:$P$50,2,FALSE)),"CADASTRAR GERENTE"))</f>
        <v>Cinthya</v>
      </c>
      <c r="P125" s="3" t="str">
        <f t="shared" si="8"/>
        <v>yyyy0515-Loja Pistão-4041</v>
      </c>
    </row>
    <row r="126" spans="1:16" x14ac:dyDescent="0.25">
      <c r="A126" s="2">
        <v>46157</v>
      </c>
      <c r="B126" s="3" t="s">
        <v>101</v>
      </c>
      <c r="C126" s="3">
        <v>4042</v>
      </c>
      <c r="D126" s="3" t="s">
        <v>114</v>
      </c>
      <c r="E126" s="3" t="s">
        <v>115</v>
      </c>
      <c r="F126" s="3" t="s">
        <v>18</v>
      </c>
      <c r="G126" s="3" t="s">
        <v>18</v>
      </c>
      <c r="H126" s="3" t="s">
        <v>18</v>
      </c>
      <c r="I126" s="3" t="s">
        <v>18</v>
      </c>
      <c r="J126" s="3" t="str">
        <f t="shared" si="6"/>
        <v>SIM</v>
      </c>
      <c r="K126" s="3" t="str">
        <f t="shared" si="7"/>
        <v>OK</v>
      </c>
      <c r="L126" s="11" t="s">
        <v>42</v>
      </c>
      <c r="M126" s="3"/>
      <c r="N126" s="12" t="s">
        <v>84</v>
      </c>
      <c r="O126" s="3" t="str">
        <f>IF(B126="","",IFERROR(IF(VLOOKUP(B126,AUXILIAR!$O$2:$P$50,2,FALSE)="","CADASTRAR GERENTE",VLOOKUP(B126,AUXILIAR!$O$2:$P$50,2,FALSE)),"CADASTRAR GERENTE"))</f>
        <v>Cinthya</v>
      </c>
      <c r="P126" s="3" t="str">
        <f t="shared" si="8"/>
        <v>yyyy0515-Loja Pistão-4042</v>
      </c>
    </row>
    <row r="127" spans="1:16" x14ac:dyDescent="0.25">
      <c r="A127" s="2">
        <v>46157</v>
      </c>
      <c r="B127" s="3" t="s">
        <v>101</v>
      </c>
      <c r="C127" s="3">
        <v>4043</v>
      </c>
      <c r="D127" s="3" t="s">
        <v>114</v>
      </c>
      <c r="E127" s="3" t="s">
        <v>115</v>
      </c>
      <c r="F127" s="3" t="s">
        <v>18</v>
      </c>
      <c r="G127" s="3" t="s">
        <v>18</v>
      </c>
      <c r="H127" s="3" t="s">
        <v>18</v>
      </c>
      <c r="I127" s="3" t="s">
        <v>18</v>
      </c>
      <c r="J127" s="3" t="str">
        <f t="shared" si="6"/>
        <v>SIM</v>
      </c>
      <c r="K127" s="3" t="str">
        <f t="shared" si="7"/>
        <v>OK</v>
      </c>
      <c r="L127" s="11" t="s">
        <v>42</v>
      </c>
      <c r="M127" s="3"/>
      <c r="N127" s="12" t="s">
        <v>84</v>
      </c>
      <c r="O127" s="3" t="str">
        <f>IF(B127="","",IFERROR(IF(VLOOKUP(B127,AUXILIAR!$O$2:$P$50,2,FALSE)="","CADASTRAR GERENTE",VLOOKUP(B127,AUXILIAR!$O$2:$P$50,2,FALSE)),"CADASTRAR GERENTE"))</f>
        <v>Cinthya</v>
      </c>
      <c r="P127" s="3" t="str">
        <f t="shared" si="8"/>
        <v>yyyy0515-Loja Pistão-4043</v>
      </c>
    </row>
    <row r="128" spans="1:16" x14ac:dyDescent="0.25">
      <c r="A128" s="2">
        <v>46160</v>
      </c>
      <c r="B128" s="3" t="s">
        <v>101</v>
      </c>
      <c r="C128" s="3">
        <v>4044</v>
      </c>
      <c r="D128" s="3" t="s">
        <v>114</v>
      </c>
      <c r="E128" s="3" t="s">
        <v>115</v>
      </c>
      <c r="F128" s="3" t="s">
        <v>18</v>
      </c>
      <c r="G128" s="3" t="s">
        <v>18</v>
      </c>
      <c r="H128" s="3" t="s">
        <v>18</v>
      </c>
      <c r="I128" s="3" t="s">
        <v>18</v>
      </c>
      <c r="J128" s="3" t="str">
        <f t="shared" si="6"/>
        <v>SIM</v>
      </c>
      <c r="K128" s="3" t="str">
        <f t="shared" si="7"/>
        <v>OK</v>
      </c>
      <c r="L128" s="11" t="s">
        <v>42</v>
      </c>
      <c r="M128" s="3"/>
      <c r="N128" s="12" t="s">
        <v>84</v>
      </c>
      <c r="O128" s="3" t="str">
        <f>IF(B128="","",IFERROR(IF(VLOOKUP(B128,AUXILIAR!$O$2:$P$50,2,FALSE)="","CADASTRAR GERENTE",VLOOKUP(B128,AUXILIAR!$O$2:$P$50,2,FALSE)),"CADASTRAR GERENTE"))</f>
        <v>Cinthya</v>
      </c>
      <c r="P128" s="3" t="str">
        <f t="shared" si="8"/>
        <v>yyyy0518-Loja Pistão-4044</v>
      </c>
    </row>
    <row r="129" spans="1:16" x14ac:dyDescent="0.25">
      <c r="A129" s="2">
        <v>46160</v>
      </c>
      <c r="B129" s="3" t="s">
        <v>102</v>
      </c>
      <c r="C129" s="3">
        <v>4045</v>
      </c>
      <c r="D129" s="3" t="s">
        <v>124</v>
      </c>
      <c r="E129" s="3" t="s">
        <v>115</v>
      </c>
      <c r="F129" s="3" t="s">
        <v>19</v>
      </c>
      <c r="G129" s="3" t="s">
        <v>19</v>
      </c>
      <c r="H129" s="3" t="s">
        <v>19</v>
      </c>
      <c r="I129" s="3" t="s">
        <v>18</v>
      </c>
      <c r="J129" s="3" t="str">
        <f t="shared" si="6"/>
        <v>NÃO</v>
      </c>
      <c r="K129" s="3" t="str">
        <f t="shared" si="7"/>
        <v>NOK</v>
      </c>
      <c r="L129" s="11" t="s">
        <v>57</v>
      </c>
      <c r="M129" s="3" t="s">
        <v>136</v>
      </c>
      <c r="N129" s="12" t="s">
        <v>84</v>
      </c>
      <c r="O129" s="3" t="str">
        <f>IF(B129="","",IFERROR(IF(VLOOKUP(B129,AUXILIAR!$O$2:$P$50,2,FALSE)="","CADASTRAR GERENTE",VLOOKUP(B129,AUXILIAR!$O$2:$P$50,2,FALSE)),"CADASTRAR GERENTE"))</f>
        <v>Neudo</v>
      </c>
      <c r="P129" s="3" t="str">
        <f t="shared" si="8"/>
        <v>yyyy0518-Loja Asa Norte-4045</v>
      </c>
    </row>
    <row r="130" spans="1:16" x14ac:dyDescent="0.25">
      <c r="A130" s="2">
        <v>46160</v>
      </c>
      <c r="B130" s="3" t="s">
        <v>102</v>
      </c>
      <c r="C130" s="3">
        <v>4046</v>
      </c>
      <c r="D130" s="3" t="s">
        <v>124</v>
      </c>
      <c r="E130" s="3" t="s">
        <v>115</v>
      </c>
      <c r="F130" s="3" t="s">
        <v>19</v>
      </c>
      <c r="G130" s="3" t="s">
        <v>19</v>
      </c>
      <c r="H130" s="3" t="s">
        <v>19</v>
      </c>
      <c r="I130" s="3" t="s">
        <v>18</v>
      </c>
      <c r="J130" s="3" t="str">
        <f t="shared" si="6"/>
        <v>NÃO</v>
      </c>
      <c r="K130" s="3" t="str">
        <f t="shared" si="7"/>
        <v>NOK</v>
      </c>
      <c r="L130" s="11" t="s">
        <v>57</v>
      </c>
      <c r="M130" s="3" t="s">
        <v>136</v>
      </c>
      <c r="N130" s="12" t="s">
        <v>84</v>
      </c>
      <c r="O130" s="3" t="str">
        <f>IF(B130="","",IFERROR(IF(VLOOKUP(B130,AUXILIAR!$O$2:$P$50,2,FALSE)="","CADASTRAR GERENTE",VLOOKUP(B130,AUXILIAR!$O$2:$P$50,2,FALSE)),"CADASTRAR GERENTE"))</f>
        <v>Neudo</v>
      </c>
      <c r="P130" s="3" t="str">
        <f t="shared" si="8"/>
        <v>yyyy0518-Loja Asa Norte-4046</v>
      </c>
    </row>
    <row r="131" spans="1:16" x14ac:dyDescent="0.25">
      <c r="A131" s="2">
        <v>46162</v>
      </c>
      <c r="B131" s="3" t="s">
        <v>102</v>
      </c>
      <c r="C131" s="3">
        <v>4047</v>
      </c>
      <c r="D131" s="3" t="s">
        <v>124</v>
      </c>
      <c r="E131" s="3" t="s">
        <v>115</v>
      </c>
      <c r="F131" s="3" t="s">
        <v>19</v>
      </c>
      <c r="G131" s="3" t="s">
        <v>19</v>
      </c>
      <c r="H131" s="3" t="s">
        <v>19</v>
      </c>
      <c r="I131" s="3" t="s">
        <v>18</v>
      </c>
      <c r="J131" s="3" t="str">
        <f t="shared" si="6"/>
        <v>NÃO</v>
      </c>
      <c r="K131" s="3" t="str">
        <f t="shared" si="7"/>
        <v>NOK</v>
      </c>
      <c r="L131" s="11" t="s">
        <v>57</v>
      </c>
      <c r="M131" s="3" t="s">
        <v>136</v>
      </c>
      <c r="N131" s="12" t="s">
        <v>84</v>
      </c>
      <c r="O131" s="3" t="str">
        <f>IF(B131="","",IFERROR(IF(VLOOKUP(B131,AUXILIAR!$O$2:$P$50,2,FALSE)="","CADASTRAR GERENTE",VLOOKUP(B131,AUXILIAR!$O$2:$P$50,2,FALSE)),"CADASTRAR GERENTE"))</f>
        <v>Neudo</v>
      </c>
      <c r="P131" s="3" t="str">
        <f t="shared" si="8"/>
        <v>yyyy0520-Loja Asa Norte-4047</v>
      </c>
    </row>
    <row r="132" spans="1:16" x14ac:dyDescent="0.25">
      <c r="A132" s="2">
        <v>46162</v>
      </c>
      <c r="B132" s="3" t="s">
        <v>102</v>
      </c>
      <c r="C132" s="3">
        <v>4048</v>
      </c>
      <c r="D132" s="3" t="s">
        <v>124</v>
      </c>
      <c r="E132" s="3" t="s">
        <v>115</v>
      </c>
      <c r="F132" s="3" t="s">
        <v>19</v>
      </c>
      <c r="G132" s="3" t="s">
        <v>19</v>
      </c>
      <c r="H132" s="3" t="s">
        <v>19</v>
      </c>
      <c r="I132" s="3" t="s">
        <v>18</v>
      </c>
      <c r="J132" s="3" t="str">
        <f t="shared" si="6"/>
        <v>NÃO</v>
      </c>
      <c r="K132" s="3" t="str">
        <f t="shared" si="7"/>
        <v>NOK</v>
      </c>
      <c r="L132" s="11" t="s">
        <v>57</v>
      </c>
      <c r="M132" s="3" t="s">
        <v>136</v>
      </c>
      <c r="N132" s="12" t="s">
        <v>84</v>
      </c>
      <c r="O132" s="3" t="str">
        <f>IF(B132="","",IFERROR(IF(VLOOKUP(B132,AUXILIAR!$O$2:$P$50,2,FALSE)="","CADASTRAR GERENTE",VLOOKUP(B132,AUXILIAR!$O$2:$P$50,2,FALSE)),"CADASTRAR GERENTE"))</f>
        <v>Neudo</v>
      </c>
      <c r="P132" s="3" t="str">
        <f t="shared" ref="P132:P195" si="9">IF(C132="","",TEXT(A161,"yyyymmdd")&amp;"-"&amp;B132&amp;"-"&amp;C132)</f>
        <v>yyyy0521-Loja Asa Norte-4048</v>
      </c>
    </row>
    <row r="133" spans="1:16" x14ac:dyDescent="0.25">
      <c r="A133" s="2">
        <v>46162</v>
      </c>
      <c r="B133" s="3" t="s">
        <v>106</v>
      </c>
      <c r="C133" s="3">
        <v>4049</v>
      </c>
      <c r="D133" s="3" t="s">
        <v>114</v>
      </c>
      <c r="E133" s="3" t="s">
        <v>115</v>
      </c>
      <c r="F133" s="3" t="s">
        <v>18</v>
      </c>
      <c r="G133" s="3" t="s">
        <v>18</v>
      </c>
      <c r="H133" s="3" t="s">
        <v>18</v>
      </c>
      <c r="I133" s="3" t="s">
        <v>18</v>
      </c>
      <c r="J133" s="3" t="str">
        <f t="shared" si="6"/>
        <v>SIM</v>
      </c>
      <c r="K133" s="3" t="str">
        <f t="shared" si="7"/>
        <v>OK</v>
      </c>
      <c r="L133" s="11" t="s">
        <v>42</v>
      </c>
      <c r="M133" s="3"/>
      <c r="N133" s="12" t="s">
        <v>84</v>
      </c>
      <c r="O133" s="3" t="str">
        <f>IF(B133="","",IFERROR(IF(VLOOKUP(B133,AUXILIAR!$O$2:$P$50,2,FALSE)="","CADASTRAR GERENTE",VLOOKUP(B133,AUXILIAR!$O$2:$P$50,2,FALSE)),"CADASTRAR GERENTE"))</f>
        <v>Danilo</v>
      </c>
      <c r="P133" s="3" t="str">
        <f t="shared" si="9"/>
        <v>yyyy0521-Loja ADE-4049</v>
      </c>
    </row>
    <row r="134" spans="1:16" x14ac:dyDescent="0.25">
      <c r="A134" s="2">
        <v>46162</v>
      </c>
      <c r="B134" s="3" t="s">
        <v>106</v>
      </c>
      <c r="C134" s="3">
        <v>4050</v>
      </c>
      <c r="D134" s="3" t="s">
        <v>114</v>
      </c>
      <c r="E134" s="3" t="s">
        <v>115</v>
      </c>
      <c r="F134" s="3" t="s">
        <v>18</v>
      </c>
      <c r="G134" s="3" t="s">
        <v>18</v>
      </c>
      <c r="H134" s="3" t="s">
        <v>18</v>
      </c>
      <c r="I134" s="3" t="s">
        <v>18</v>
      </c>
      <c r="J134" s="3" t="str">
        <f t="shared" si="6"/>
        <v>SIM</v>
      </c>
      <c r="K134" s="3" t="str">
        <f t="shared" si="7"/>
        <v>OK</v>
      </c>
      <c r="L134" s="11" t="s">
        <v>140</v>
      </c>
      <c r="M134" s="3"/>
      <c r="N134" s="12" t="s">
        <v>84</v>
      </c>
      <c r="O134" s="3" t="str">
        <f>IF(B134="","",IFERROR(IF(VLOOKUP(B134,AUXILIAR!$O$2:$P$50,2,FALSE)="","CADASTRAR GERENTE",VLOOKUP(B134,AUXILIAR!$O$2:$P$50,2,FALSE)),"CADASTRAR GERENTE"))</f>
        <v>Danilo</v>
      </c>
      <c r="P134" s="3" t="str">
        <f t="shared" si="9"/>
        <v>yyyy0521-Loja ADE-4050</v>
      </c>
    </row>
    <row r="135" spans="1:16" x14ac:dyDescent="0.25">
      <c r="A135" s="2">
        <v>46162</v>
      </c>
      <c r="B135" s="3" t="s">
        <v>103</v>
      </c>
      <c r="C135" s="3">
        <v>4051</v>
      </c>
      <c r="D135" s="3" t="s">
        <v>113</v>
      </c>
      <c r="E135" s="3" t="s">
        <v>115</v>
      </c>
      <c r="F135" s="3" t="s">
        <v>19</v>
      </c>
      <c r="G135" s="3" t="s">
        <v>19</v>
      </c>
      <c r="H135" s="3" t="s">
        <v>19</v>
      </c>
      <c r="I135" s="3" t="s">
        <v>18</v>
      </c>
      <c r="J135" s="3" t="str">
        <f t="shared" si="6"/>
        <v>NÃO</v>
      </c>
      <c r="K135" s="3" t="str">
        <f t="shared" si="7"/>
        <v>NOK</v>
      </c>
      <c r="L135" s="11" t="s">
        <v>57</v>
      </c>
      <c r="M135" s="3" t="s">
        <v>136</v>
      </c>
      <c r="N135" s="12" t="s">
        <v>84</v>
      </c>
      <c r="O135" s="3" t="str">
        <f>IF(B135="","",IFERROR(IF(VLOOKUP(B135,AUXILIAR!$O$2:$P$50,2,FALSE)="","CADASTRAR GERENTE",VLOOKUP(B135,AUXILIAR!$O$2:$P$50,2,FALSE)),"CADASTRAR GERENTE"))</f>
        <v>Natália</v>
      </c>
      <c r="P135" s="3" t="str">
        <f t="shared" si="9"/>
        <v>yyyy0521-Loja Aguas Lindas-4051</v>
      </c>
    </row>
    <row r="136" spans="1:16" x14ac:dyDescent="0.25">
      <c r="A136" s="2">
        <v>46162</v>
      </c>
      <c r="B136" s="3" t="s">
        <v>102</v>
      </c>
      <c r="C136" s="3">
        <v>4052</v>
      </c>
      <c r="D136" s="3" t="s">
        <v>124</v>
      </c>
      <c r="E136" s="3" t="s">
        <v>115</v>
      </c>
      <c r="F136" s="3" t="s">
        <v>19</v>
      </c>
      <c r="G136" s="3" t="s">
        <v>19</v>
      </c>
      <c r="H136" s="3" t="s">
        <v>19</v>
      </c>
      <c r="I136" s="3" t="s">
        <v>18</v>
      </c>
      <c r="J136" s="3" t="str">
        <f t="shared" si="6"/>
        <v>NÃO</v>
      </c>
      <c r="K136" s="3" t="str">
        <f t="shared" si="7"/>
        <v>NOK</v>
      </c>
      <c r="L136" s="11" t="s">
        <v>57</v>
      </c>
      <c r="M136" s="3" t="s">
        <v>136</v>
      </c>
      <c r="N136" s="12" t="s">
        <v>84</v>
      </c>
      <c r="O136" s="3" t="str">
        <f>IF(B136="","",IFERROR(IF(VLOOKUP(B136,AUXILIAR!$O$2:$P$50,2,FALSE)="","CADASTRAR GERENTE",VLOOKUP(B136,AUXILIAR!$O$2:$P$50,2,FALSE)),"CADASTRAR GERENTE"))</f>
        <v>Neudo</v>
      </c>
      <c r="P136" s="3" t="str">
        <f t="shared" si="9"/>
        <v>yyyy0100-Loja Asa Norte-4052</v>
      </c>
    </row>
    <row r="137" spans="1:16" x14ac:dyDescent="0.25">
      <c r="A137" s="2">
        <v>46162</v>
      </c>
      <c r="B137" s="3" t="s">
        <v>103</v>
      </c>
      <c r="C137" s="3">
        <v>4053</v>
      </c>
      <c r="D137" s="3" t="s">
        <v>113</v>
      </c>
      <c r="E137" s="3" t="s">
        <v>115</v>
      </c>
      <c r="F137" s="3" t="s">
        <v>19</v>
      </c>
      <c r="G137" s="3" t="s">
        <v>19</v>
      </c>
      <c r="H137" s="3" t="s">
        <v>19</v>
      </c>
      <c r="I137" s="3" t="s">
        <v>18</v>
      </c>
      <c r="J137" s="3" t="str">
        <f t="shared" si="6"/>
        <v>NÃO</v>
      </c>
      <c r="K137" s="3" t="str">
        <f t="shared" si="7"/>
        <v>NOK</v>
      </c>
      <c r="L137" s="11" t="s">
        <v>57</v>
      </c>
      <c r="M137" s="3" t="s">
        <v>136</v>
      </c>
      <c r="N137" s="12" t="s">
        <v>84</v>
      </c>
      <c r="O137" s="3" t="str">
        <f>IF(B137="","",IFERROR(IF(VLOOKUP(B137,AUXILIAR!$O$2:$P$50,2,FALSE)="","CADASTRAR GERENTE",VLOOKUP(B137,AUXILIAR!$O$2:$P$50,2,FALSE)),"CADASTRAR GERENTE"))</f>
        <v>Natália</v>
      </c>
      <c r="P137" s="3" t="str">
        <f t="shared" si="9"/>
        <v>yyyy0100-Loja Aguas Lindas-4053</v>
      </c>
    </row>
    <row r="138" spans="1:16" x14ac:dyDescent="0.25">
      <c r="A138" s="2">
        <v>46162</v>
      </c>
      <c r="B138" s="3" t="s">
        <v>101</v>
      </c>
      <c r="C138" s="3">
        <v>4054</v>
      </c>
      <c r="D138" s="3" t="s">
        <v>114</v>
      </c>
      <c r="E138" s="3" t="s">
        <v>115</v>
      </c>
      <c r="F138" s="3" t="s">
        <v>18</v>
      </c>
      <c r="G138" s="3" t="s">
        <v>18</v>
      </c>
      <c r="H138" s="3" t="s">
        <v>18</v>
      </c>
      <c r="I138" s="3" t="s">
        <v>18</v>
      </c>
      <c r="J138" s="3" t="str">
        <f t="shared" si="6"/>
        <v>SIM</v>
      </c>
      <c r="K138" s="3" t="str">
        <f t="shared" si="7"/>
        <v>OK</v>
      </c>
      <c r="L138" s="11" t="s">
        <v>42</v>
      </c>
      <c r="M138" s="3"/>
      <c r="N138" s="12" t="s">
        <v>84</v>
      </c>
      <c r="O138" s="3" t="str">
        <f>IF(B138="","",IFERROR(IF(VLOOKUP(B138,AUXILIAR!$O$2:$P$50,2,FALSE)="","CADASTRAR GERENTE",VLOOKUP(B138,AUXILIAR!$O$2:$P$50,2,FALSE)),"CADASTRAR GERENTE"))</f>
        <v>Cinthya</v>
      </c>
      <c r="P138" s="3" t="str">
        <f t="shared" si="9"/>
        <v>yyyy0100-Loja Pistão-4054</v>
      </c>
    </row>
    <row r="139" spans="1:16" x14ac:dyDescent="0.25">
      <c r="A139" s="2">
        <v>46162</v>
      </c>
      <c r="B139" s="3" t="s">
        <v>102</v>
      </c>
      <c r="C139" s="3">
        <v>4055</v>
      </c>
      <c r="D139" s="3" t="s">
        <v>124</v>
      </c>
      <c r="E139" s="3" t="s">
        <v>55</v>
      </c>
      <c r="F139" s="3"/>
      <c r="G139" s="3"/>
      <c r="H139" s="3"/>
      <c r="I139" s="3"/>
      <c r="J139" s="3" t="str">
        <f t="shared" si="6"/>
        <v xml:space="preserve"> </v>
      </c>
      <c r="K139" s="3" t="str">
        <f t="shared" si="7"/>
        <v>NOK</v>
      </c>
      <c r="L139" s="11" t="s">
        <v>56</v>
      </c>
      <c r="M139" s="3"/>
      <c r="N139" s="12" t="s">
        <v>84</v>
      </c>
      <c r="O139" s="3" t="str">
        <f>IF(B139="","",IFERROR(IF(VLOOKUP(B139,AUXILIAR!$O$2:$P$50,2,FALSE)="","CADASTRAR GERENTE",VLOOKUP(B139,AUXILIAR!$O$2:$P$50,2,FALSE)),"CADASTRAR GERENTE"))</f>
        <v>Neudo</v>
      </c>
      <c r="P139" s="3" t="str">
        <f t="shared" si="9"/>
        <v>yyyy0100-Loja Asa Norte-4055</v>
      </c>
    </row>
    <row r="140" spans="1:16" x14ac:dyDescent="0.25">
      <c r="A140" s="2">
        <v>46162</v>
      </c>
      <c r="B140" s="3" t="s">
        <v>102</v>
      </c>
      <c r="C140" s="3">
        <v>4056</v>
      </c>
      <c r="D140" s="3" t="s">
        <v>124</v>
      </c>
      <c r="E140" s="3" t="s">
        <v>115</v>
      </c>
      <c r="F140" s="3" t="s">
        <v>19</v>
      </c>
      <c r="G140" s="3" t="s">
        <v>19</v>
      </c>
      <c r="H140" s="3" t="s">
        <v>19</v>
      </c>
      <c r="I140" s="3" t="s">
        <v>18</v>
      </c>
      <c r="J140" s="3" t="str">
        <f t="shared" si="6"/>
        <v>NÃO</v>
      </c>
      <c r="K140" s="3" t="str">
        <f t="shared" si="7"/>
        <v>NOK</v>
      </c>
      <c r="L140" s="11" t="s">
        <v>57</v>
      </c>
      <c r="M140" s="3" t="s">
        <v>136</v>
      </c>
      <c r="N140" s="12" t="s">
        <v>84</v>
      </c>
      <c r="O140" s="3" t="str">
        <f>IF(B140="","",IFERROR(IF(VLOOKUP(B140,AUXILIAR!$O$2:$P$50,2,FALSE)="","CADASTRAR GERENTE",VLOOKUP(B140,AUXILIAR!$O$2:$P$50,2,FALSE)),"CADASTRAR GERENTE"))</f>
        <v>Neudo</v>
      </c>
      <c r="P140" s="3" t="str">
        <f t="shared" si="9"/>
        <v>yyyy0100-Loja Asa Norte-4056</v>
      </c>
    </row>
    <row r="141" spans="1:16" x14ac:dyDescent="0.25">
      <c r="A141" s="2">
        <v>46162</v>
      </c>
      <c r="B141" s="3" t="s">
        <v>103</v>
      </c>
      <c r="C141" s="3">
        <v>4057</v>
      </c>
      <c r="D141" s="3" t="s">
        <v>113</v>
      </c>
      <c r="E141" s="3" t="s">
        <v>115</v>
      </c>
      <c r="F141" s="3" t="s">
        <v>19</v>
      </c>
      <c r="G141" s="3" t="s">
        <v>19</v>
      </c>
      <c r="H141" s="3" t="s">
        <v>19</v>
      </c>
      <c r="I141" s="3" t="s">
        <v>18</v>
      </c>
      <c r="J141" s="3" t="str">
        <f t="shared" si="6"/>
        <v>NÃO</v>
      </c>
      <c r="K141" s="3" t="str">
        <f t="shared" si="7"/>
        <v>NOK</v>
      </c>
      <c r="L141" s="11" t="s">
        <v>57</v>
      </c>
      <c r="M141" s="3" t="s">
        <v>136</v>
      </c>
      <c r="N141" s="12" t="s">
        <v>84</v>
      </c>
      <c r="O141" s="3" t="str">
        <f>IF(B141="","",IFERROR(IF(VLOOKUP(B141,AUXILIAR!$O$2:$P$50,2,FALSE)="","CADASTRAR GERENTE",VLOOKUP(B141,AUXILIAR!$O$2:$P$50,2,FALSE)),"CADASTRAR GERENTE"))</f>
        <v>Natália</v>
      </c>
      <c r="P141" s="3" t="str">
        <f t="shared" si="9"/>
        <v>yyyy0100-Loja Aguas Lindas-4057</v>
      </c>
    </row>
    <row r="142" spans="1:16" x14ac:dyDescent="0.25">
      <c r="A142" s="2">
        <v>46162</v>
      </c>
      <c r="B142" s="3" t="s">
        <v>101</v>
      </c>
      <c r="C142" s="3">
        <v>4058</v>
      </c>
      <c r="D142" s="3" t="s">
        <v>114</v>
      </c>
      <c r="E142" s="3" t="s">
        <v>115</v>
      </c>
      <c r="F142" s="3" t="s">
        <v>19</v>
      </c>
      <c r="G142" s="3" t="s">
        <v>19</v>
      </c>
      <c r="H142" s="3" t="s">
        <v>19</v>
      </c>
      <c r="I142" s="3" t="s">
        <v>18</v>
      </c>
      <c r="J142" s="3" t="str">
        <f t="shared" si="6"/>
        <v>NÃO</v>
      </c>
      <c r="K142" s="3" t="str">
        <f t="shared" si="7"/>
        <v>NOK</v>
      </c>
      <c r="L142" s="11" t="s">
        <v>57</v>
      </c>
      <c r="M142" s="3" t="s">
        <v>136</v>
      </c>
      <c r="N142" s="12" t="s">
        <v>84</v>
      </c>
      <c r="O142" s="3" t="str">
        <f>IF(B142="","",IFERROR(IF(VLOOKUP(B142,AUXILIAR!$O$2:$P$50,2,FALSE)="","CADASTRAR GERENTE",VLOOKUP(B142,AUXILIAR!$O$2:$P$50,2,FALSE)),"CADASTRAR GERENTE"))</f>
        <v>Cinthya</v>
      </c>
      <c r="P142" s="3" t="str">
        <f t="shared" si="9"/>
        <v>yyyy0100-Loja Pistão-4058</v>
      </c>
    </row>
    <row r="143" spans="1:16" x14ac:dyDescent="0.25">
      <c r="A143" s="2">
        <v>46162</v>
      </c>
      <c r="B143" s="3" t="s">
        <v>101</v>
      </c>
      <c r="C143" s="3">
        <v>4059</v>
      </c>
      <c r="D143" s="3" t="s">
        <v>114</v>
      </c>
      <c r="E143" s="3" t="s">
        <v>138</v>
      </c>
      <c r="F143" s="3"/>
      <c r="G143" s="3"/>
      <c r="H143" s="3"/>
      <c r="I143" s="3"/>
      <c r="J143" s="3" t="str">
        <f t="shared" si="6"/>
        <v>NÃO</v>
      </c>
      <c r="K143" s="3" t="str">
        <f t="shared" si="7"/>
        <v>NOK</v>
      </c>
      <c r="L143" s="11"/>
      <c r="M143" s="3"/>
      <c r="N143" s="12" t="s">
        <v>84</v>
      </c>
      <c r="O143" s="3" t="str">
        <f>IF(B143="","",IFERROR(IF(VLOOKUP(B143,AUXILIAR!$O$2:$P$50,2,FALSE)="","CADASTRAR GERENTE",VLOOKUP(B143,AUXILIAR!$O$2:$P$50,2,FALSE)),"CADASTRAR GERENTE"))</f>
        <v>Cinthya</v>
      </c>
      <c r="P143" s="3" t="str">
        <f t="shared" si="9"/>
        <v>yyyy0100-Loja Pistão-4059</v>
      </c>
    </row>
    <row r="144" spans="1:16" x14ac:dyDescent="0.25">
      <c r="A144" s="2">
        <v>46162</v>
      </c>
      <c r="B144" s="3" t="s">
        <v>101</v>
      </c>
      <c r="C144" s="3">
        <v>4060</v>
      </c>
      <c r="D144" s="3" t="s">
        <v>114</v>
      </c>
      <c r="E144" s="3" t="s">
        <v>138</v>
      </c>
      <c r="F144" s="3"/>
      <c r="G144" s="3"/>
      <c r="H144" s="3"/>
      <c r="I144" s="3"/>
      <c r="J144" s="3" t="str">
        <f t="shared" si="6"/>
        <v>NÃO</v>
      </c>
      <c r="K144" s="3" t="str">
        <f t="shared" si="7"/>
        <v>NOK</v>
      </c>
      <c r="L144" s="11"/>
      <c r="M144" s="3"/>
      <c r="N144" s="12" t="s">
        <v>84</v>
      </c>
      <c r="O144" s="3" t="str">
        <f>IF(B144="","",IFERROR(IF(VLOOKUP(B144,AUXILIAR!$O$2:$P$50,2,FALSE)="","CADASTRAR GERENTE",VLOOKUP(B144,AUXILIAR!$O$2:$P$50,2,FALSE)),"CADASTRAR GERENTE"))</f>
        <v>Cinthya</v>
      </c>
      <c r="P144" s="3" t="str">
        <f t="shared" si="9"/>
        <v>yyyy0100-Loja Pistão-4060</v>
      </c>
    </row>
    <row r="145" spans="1:16" x14ac:dyDescent="0.25">
      <c r="A145" s="2">
        <v>46162</v>
      </c>
      <c r="B145" s="3" t="s">
        <v>102</v>
      </c>
      <c r="C145" s="3">
        <v>4061</v>
      </c>
      <c r="D145" s="3" t="s">
        <v>124</v>
      </c>
      <c r="E145" s="3" t="s">
        <v>55</v>
      </c>
      <c r="F145" s="3"/>
      <c r="G145" s="3"/>
      <c r="H145" s="3"/>
      <c r="I145" s="3"/>
      <c r="J145" s="3" t="str">
        <f t="shared" si="6"/>
        <v xml:space="preserve"> </v>
      </c>
      <c r="K145" s="3" t="str">
        <f t="shared" si="7"/>
        <v>NOK</v>
      </c>
      <c r="L145" s="11" t="s">
        <v>56</v>
      </c>
      <c r="M145" s="3"/>
      <c r="N145" s="12" t="s">
        <v>84</v>
      </c>
      <c r="O145" s="3" t="str">
        <f>IF(B145="","",IFERROR(IF(VLOOKUP(B145,AUXILIAR!$O$2:$P$50,2,FALSE)="","CADASTRAR GERENTE",VLOOKUP(B145,AUXILIAR!$O$2:$P$50,2,FALSE)),"CADASTRAR GERENTE"))</f>
        <v>Neudo</v>
      </c>
      <c r="P145" s="3" t="str">
        <f t="shared" si="9"/>
        <v>yyyy0100-Loja Asa Norte-4061</v>
      </c>
    </row>
    <row r="146" spans="1:16" x14ac:dyDescent="0.25">
      <c r="A146" s="2">
        <v>46162</v>
      </c>
      <c r="B146" s="3" t="s">
        <v>106</v>
      </c>
      <c r="C146" s="3">
        <v>4062</v>
      </c>
      <c r="D146" s="3" t="s">
        <v>114</v>
      </c>
      <c r="E146" s="3" t="s">
        <v>138</v>
      </c>
      <c r="F146" s="3"/>
      <c r="G146" s="3"/>
      <c r="H146" s="3"/>
      <c r="I146" s="3"/>
      <c r="J146" s="3" t="str">
        <f t="shared" si="6"/>
        <v>NÃO</v>
      </c>
      <c r="K146" s="3" t="str">
        <f t="shared" si="7"/>
        <v>NOK</v>
      </c>
      <c r="L146" s="11"/>
      <c r="M146" s="3"/>
      <c r="N146" s="12" t="s">
        <v>84</v>
      </c>
      <c r="O146" s="3" t="str">
        <f>IF(B146="","",IFERROR(IF(VLOOKUP(B146,AUXILIAR!$O$2:$P$50,2,FALSE)="","CADASTRAR GERENTE",VLOOKUP(B146,AUXILIAR!$O$2:$P$50,2,FALSE)),"CADASTRAR GERENTE"))</f>
        <v>Danilo</v>
      </c>
      <c r="P146" s="3" t="str">
        <f t="shared" si="9"/>
        <v>yyyy0100-Loja ADE-4062</v>
      </c>
    </row>
    <row r="147" spans="1:16" x14ac:dyDescent="0.25">
      <c r="A147" s="2">
        <v>46162</v>
      </c>
      <c r="B147" s="3" t="s">
        <v>101</v>
      </c>
      <c r="C147" s="3">
        <v>4063</v>
      </c>
      <c r="D147" s="3" t="s">
        <v>114</v>
      </c>
      <c r="E147" s="3" t="s">
        <v>138</v>
      </c>
      <c r="F147" s="3"/>
      <c r="G147" s="3"/>
      <c r="H147" s="3"/>
      <c r="I147" s="3"/>
      <c r="J147" s="3" t="str">
        <f t="shared" si="6"/>
        <v>NÃO</v>
      </c>
      <c r="K147" s="3" t="str">
        <f t="shared" si="7"/>
        <v>NOK</v>
      </c>
      <c r="L147" s="11"/>
      <c r="M147" s="3"/>
      <c r="N147" s="12" t="s">
        <v>84</v>
      </c>
      <c r="O147" s="3" t="str">
        <f>IF(B147="","",IFERROR(IF(VLOOKUP(B147,AUXILIAR!$O$2:$P$50,2,FALSE)="","CADASTRAR GERENTE",VLOOKUP(B147,AUXILIAR!$O$2:$P$50,2,FALSE)),"CADASTRAR GERENTE"))</f>
        <v>Cinthya</v>
      </c>
      <c r="P147" s="3" t="str">
        <f t="shared" si="9"/>
        <v>yyyy0100-Loja Pistão-4063</v>
      </c>
    </row>
    <row r="148" spans="1:16" x14ac:dyDescent="0.25">
      <c r="A148" s="2">
        <v>46162</v>
      </c>
      <c r="B148" s="3" t="s">
        <v>101</v>
      </c>
      <c r="C148" s="3">
        <v>4064</v>
      </c>
      <c r="D148" s="3" t="s">
        <v>114</v>
      </c>
      <c r="E148" s="3" t="s">
        <v>138</v>
      </c>
      <c r="F148" s="3"/>
      <c r="G148" s="3"/>
      <c r="H148" s="3"/>
      <c r="I148" s="3"/>
      <c r="J148" s="3" t="str">
        <f t="shared" si="6"/>
        <v>NÃO</v>
      </c>
      <c r="K148" s="3" t="str">
        <f t="shared" si="7"/>
        <v>NOK</v>
      </c>
      <c r="L148" s="11"/>
      <c r="M148" s="3"/>
      <c r="N148" s="12" t="s">
        <v>84</v>
      </c>
      <c r="O148" s="3" t="str">
        <f>IF(B148="","",IFERROR(IF(VLOOKUP(B148,AUXILIAR!$O$2:$P$50,2,FALSE)="","CADASTRAR GERENTE",VLOOKUP(B148,AUXILIAR!$O$2:$P$50,2,FALSE)),"CADASTRAR GERENTE"))</f>
        <v>Cinthya</v>
      </c>
      <c r="P148" s="3" t="str">
        <f t="shared" si="9"/>
        <v>yyyy0100-Loja Pistão-4064</v>
      </c>
    </row>
    <row r="149" spans="1:16" x14ac:dyDescent="0.25">
      <c r="A149" s="2">
        <v>46162</v>
      </c>
      <c r="B149" s="3" t="s">
        <v>106</v>
      </c>
      <c r="C149" s="3">
        <v>4065</v>
      </c>
      <c r="D149" s="3" t="s">
        <v>114</v>
      </c>
      <c r="E149" s="3" t="s">
        <v>138</v>
      </c>
      <c r="F149" s="3"/>
      <c r="G149" s="3"/>
      <c r="H149" s="3"/>
      <c r="I149" s="3"/>
      <c r="J149" s="3" t="str">
        <f t="shared" si="6"/>
        <v>NÃO</v>
      </c>
      <c r="K149" s="3" t="str">
        <f t="shared" si="7"/>
        <v>NOK</v>
      </c>
      <c r="L149" s="11"/>
      <c r="M149" s="3"/>
      <c r="N149" s="12" t="s">
        <v>84</v>
      </c>
      <c r="O149" s="3" t="str">
        <f>IF(B149="","",IFERROR(IF(VLOOKUP(B149,AUXILIAR!$O$2:$P$50,2,FALSE)="","CADASTRAR GERENTE",VLOOKUP(B149,AUXILIAR!$O$2:$P$50,2,FALSE)),"CADASTRAR GERENTE"))</f>
        <v>Danilo</v>
      </c>
      <c r="P149" s="3" t="str">
        <f t="shared" si="9"/>
        <v>yyyy0100-Loja ADE-4065</v>
      </c>
    </row>
    <row r="150" spans="1:16" x14ac:dyDescent="0.25">
      <c r="A150" s="2">
        <v>46162</v>
      </c>
      <c r="B150" s="3" t="s">
        <v>102</v>
      </c>
      <c r="C150" s="3">
        <v>4066</v>
      </c>
      <c r="D150" s="3" t="s">
        <v>124</v>
      </c>
      <c r="E150" s="3" t="s">
        <v>115</v>
      </c>
      <c r="F150" s="3" t="s">
        <v>19</v>
      </c>
      <c r="G150" s="3" t="s">
        <v>19</v>
      </c>
      <c r="H150" s="3" t="s">
        <v>19</v>
      </c>
      <c r="I150" s="3" t="s">
        <v>18</v>
      </c>
      <c r="J150" s="3" t="str">
        <f t="shared" si="6"/>
        <v>NÃO</v>
      </c>
      <c r="K150" s="3" t="str">
        <f t="shared" si="7"/>
        <v>NOK</v>
      </c>
      <c r="L150" s="11" t="s">
        <v>57</v>
      </c>
      <c r="M150" s="3" t="s">
        <v>136</v>
      </c>
      <c r="N150" s="12" t="s">
        <v>84</v>
      </c>
      <c r="O150" s="3" t="str">
        <f>IF(B150="","",IFERROR(IF(VLOOKUP(B150,AUXILIAR!$O$2:$P$50,2,FALSE)="","CADASTRAR GERENTE",VLOOKUP(B150,AUXILIAR!$O$2:$P$50,2,FALSE)),"CADASTRAR GERENTE"))</f>
        <v>Neudo</v>
      </c>
      <c r="P150" s="3" t="str">
        <f t="shared" si="9"/>
        <v>yyyy0100-Loja Asa Norte-4066</v>
      </c>
    </row>
    <row r="151" spans="1:16" x14ac:dyDescent="0.25">
      <c r="A151" s="2">
        <v>46162</v>
      </c>
      <c r="B151" s="3" t="s">
        <v>102</v>
      </c>
      <c r="C151" s="3">
        <v>4067</v>
      </c>
      <c r="D151" s="3" t="s">
        <v>124</v>
      </c>
      <c r="E151" s="3" t="s">
        <v>115</v>
      </c>
      <c r="F151" s="3" t="s">
        <v>19</v>
      </c>
      <c r="G151" s="3" t="s">
        <v>19</v>
      </c>
      <c r="H151" s="3" t="s">
        <v>19</v>
      </c>
      <c r="I151" s="3" t="s">
        <v>18</v>
      </c>
      <c r="J151" s="3" t="str">
        <f t="shared" si="6"/>
        <v>NÃO</v>
      </c>
      <c r="K151" s="3" t="str">
        <f t="shared" si="7"/>
        <v>NOK</v>
      </c>
      <c r="L151" s="11" t="s">
        <v>57</v>
      </c>
      <c r="M151" s="3" t="s">
        <v>136</v>
      </c>
      <c r="N151" s="12" t="s">
        <v>84</v>
      </c>
      <c r="O151" s="3" t="str">
        <f>IF(B151="","",IFERROR(IF(VLOOKUP(B151,AUXILIAR!$O$2:$P$50,2,FALSE)="","CADASTRAR GERENTE",VLOOKUP(B151,AUXILIAR!$O$2:$P$50,2,FALSE)),"CADASTRAR GERENTE"))</f>
        <v>Neudo</v>
      </c>
      <c r="P151" s="3" t="str">
        <f t="shared" si="9"/>
        <v>yyyy0100-Loja Asa Norte-4067</v>
      </c>
    </row>
    <row r="152" spans="1:16" x14ac:dyDescent="0.25">
      <c r="A152" s="2">
        <v>46162</v>
      </c>
      <c r="B152" s="3" t="s">
        <v>101</v>
      </c>
      <c r="C152" s="3">
        <v>4068</v>
      </c>
      <c r="D152" s="3" t="s">
        <v>114</v>
      </c>
      <c r="E152" s="3" t="s">
        <v>138</v>
      </c>
      <c r="F152" s="3"/>
      <c r="G152" s="3"/>
      <c r="H152" s="3"/>
      <c r="I152" s="3"/>
      <c r="J152" s="3" t="str">
        <f t="shared" si="6"/>
        <v>NÃO</v>
      </c>
      <c r="K152" s="3" t="str">
        <f t="shared" si="7"/>
        <v>NOK</v>
      </c>
      <c r="L152" s="11"/>
      <c r="M152" s="3"/>
      <c r="N152" s="12" t="s">
        <v>84</v>
      </c>
      <c r="O152" s="3" t="str">
        <f>IF(B152="","",IFERROR(IF(VLOOKUP(B152,AUXILIAR!$O$2:$P$50,2,FALSE)="","CADASTRAR GERENTE",VLOOKUP(B152,AUXILIAR!$O$2:$P$50,2,FALSE)),"CADASTRAR GERENTE"))</f>
        <v>Cinthya</v>
      </c>
      <c r="P152" s="3" t="str">
        <f t="shared" si="9"/>
        <v>yyyy0100-Loja Pistão-4068</v>
      </c>
    </row>
    <row r="153" spans="1:16" x14ac:dyDescent="0.25">
      <c r="A153" s="2">
        <v>46162</v>
      </c>
      <c r="B153" s="3" t="s">
        <v>102</v>
      </c>
      <c r="C153" s="3">
        <v>4069</v>
      </c>
      <c r="D153" s="3" t="s">
        <v>124</v>
      </c>
      <c r="E153" s="3" t="s">
        <v>115</v>
      </c>
      <c r="F153" s="3" t="s">
        <v>19</v>
      </c>
      <c r="G153" s="3" t="s">
        <v>19</v>
      </c>
      <c r="H153" s="3" t="s">
        <v>19</v>
      </c>
      <c r="I153" s="3" t="s">
        <v>18</v>
      </c>
      <c r="J153" s="3" t="str">
        <f t="shared" si="6"/>
        <v>NÃO</v>
      </c>
      <c r="K153" s="3" t="str">
        <f t="shared" si="7"/>
        <v>NOK</v>
      </c>
      <c r="L153" s="11" t="s">
        <v>57</v>
      </c>
      <c r="M153" s="3" t="s">
        <v>136</v>
      </c>
      <c r="N153" s="12" t="s">
        <v>84</v>
      </c>
      <c r="O153" s="3" t="str">
        <f>IF(B153="","",IFERROR(IF(VLOOKUP(B153,AUXILIAR!$O$2:$P$50,2,FALSE)="","CADASTRAR GERENTE",VLOOKUP(B153,AUXILIAR!$O$2:$P$50,2,FALSE)),"CADASTRAR GERENTE"))</f>
        <v>Neudo</v>
      </c>
      <c r="P153" s="3" t="str">
        <f t="shared" si="9"/>
        <v>yyyy0100-Loja Asa Norte-4069</v>
      </c>
    </row>
    <row r="154" spans="1:16" x14ac:dyDescent="0.25">
      <c r="A154" s="2">
        <v>46162</v>
      </c>
      <c r="B154" s="3" t="s">
        <v>106</v>
      </c>
      <c r="C154" s="3">
        <v>4070</v>
      </c>
      <c r="D154" s="3" t="s">
        <v>114</v>
      </c>
      <c r="E154" s="3" t="s">
        <v>138</v>
      </c>
      <c r="F154" s="3"/>
      <c r="G154" s="3"/>
      <c r="H154" s="3"/>
      <c r="I154" s="3"/>
      <c r="J154" s="3" t="str">
        <f t="shared" si="6"/>
        <v>NÃO</v>
      </c>
      <c r="K154" s="3" t="str">
        <f t="shared" si="7"/>
        <v>NOK</v>
      </c>
      <c r="L154" s="11"/>
      <c r="M154" s="3"/>
      <c r="N154" s="12" t="s">
        <v>84</v>
      </c>
      <c r="O154" s="3" t="str">
        <f>IF(B154="","",IFERROR(IF(VLOOKUP(B154,AUXILIAR!$O$2:$P$50,2,FALSE)="","CADASTRAR GERENTE",VLOOKUP(B154,AUXILIAR!$O$2:$P$50,2,FALSE)),"CADASTRAR GERENTE"))</f>
        <v>Danilo</v>
      </c>
      <c r="P154" s="3" t="str">
        <f t="shared" si="9"/>
        <v>yyyy0100-Loja ADE-4070</v>
      </c>
    </row>
    <row r="155" spans="1:16" x14ac:dyDescent="0.25">
      <c r="A155" s="2">
        <v>46162</v>
      </c>
      <c r="B155" s="3" t="s">
        <v>106</v>
      </c>
      <c r="C155" s="3">
        <v>4071</v>
      </c>
      <c r="D155" s="3" t="s">
        <v>114</v>
      </c>
      <c r="E155" s="3" t="s">
        <v>138</v>
      </c>
      <c r="F155" s="3"/>
      <c r="G155" s="3"/>
      <c r="H155" s="3"/>
      <c r="I155" s="3"/>
      <c r="J155" s="3" t="str">
        <f t="shared" si="6"/>
        <v>NÃO</v>
      </c>
      <c r="K155" s="3" t="str">
        <f t="shared" si="7"/>
        <v>NOK</v>
      </c>
      <c r="L155" s="11"/>
      <c r="M155" s="3"/>
      <c r="N155" s="12" t="s">
        <v>84</v>
      </c>
      <c r="O155" s="3" t="str">
        <f>IF(B155="","",IFERROR(IF(VLOOKUP(B155,AUXILIAR!$O$2:$P$50,2,FALSE)="","CADASTRAR GERENTE",VLOOKUP(B155,AUXILIAR!$O$2:$P$50,2,FALSE)),"CADASTRAR GERENTE"))</f>
        <v>Danilo</v>
      </c>
      <c r="P155" s="3" t="str">
        <f t="shared" si="9"/>
        <v>yyyy0100-Loja ADE-4071</v>
      </c>
    </row>
    <row r="156" spans="1:16" x14ac:dyDescent="0.25">
      <c r="A156" s="2">
        <v>46163</v>
      </c>
      <c r="B156" s="3" t="s">
        <v>106</v>
      </c>
      <c r="C156" s="3">
        <v>4072</v>
      </c>
      <c r="D156" s="3" t="s">
        <v>114</v>
      </c>
      <c r="E156" s="3" t="s">
        <v>138</v>
      </c>
      <c r="F156" s="3"/>
      <c r="G156" s="3"/>
      <c r="H156" s="3"/>
      <c r="I156" s="3"/>
      <c r="J156" s="3" t="str">
        <f t="shared" si="6"/>
        <v>NÃO</v>
      </c>
      <c r="K156" s="3" t="str">
        <f t="shared" si="7"/>
        <v>NOK</v>
      </c>
      <c r="L156" s="11"/>
      <c r="M156" s="3"/>
      <c r="N156" s="12" t="s">
        <v>84</v>
      </c>
      <c r="O156" s="3" t="str">
        <f>IF(B156="","",IFERROR(IF(VLOOKUP(B156,AUXILIAR!$O$2:$P$50,2,FALSE)="","CADASTRAR GERENTE",VLOOKUP(B156,AUXILIAR!$O$2:$P$50,2,FALSE)),"CADASTRAR GERENTE"))</f>
        <v>Danilo</v>
      </c>
      <c r="P156" s="3" t="str">
        <f t="shared" si="9"/>
        <v>yyyy0100-Loja ADE-4072</v>
      </c>
    </row>
    <row r="157" spans="1:16" x14ac:dyDescent="0.25">
      <c r="A157" s="2">
        <v>46163</v>
      </c>
      <c r="B157" s="3" t="s">
        <v>106</v>
      </c>
      <c r="C157" s="3">
        <v>4073</v>
      </c>
      <c r="D157" s="3" t="s">
        <v>114</v>
      </c>
      <c r="E157" s="3" t="s">
        <v>138</v>
      </c>
      <c r="F157" s="3"/>
      <c r="G157" s="3"/>
      <c r="H157" s="3"/>
      <c r="I157" s="3"/>
      <c r="J157" s="3" t="str">
        <f t="shared" si="6"/>
        <v>NÃO</v>
      </c>
      <c r="K157" s="3" t="str">
        <f t="shared" si="7"/>
        <v>NOK</v>
      </c>
      <c r="L157" s="11"/>
      <c r="M157" s="3"/>
      <c r="N157" s="12" t="s">
        <v>84</v>
      </c>
      <c r="O157" s="3" t="str">
        <f>IF(B157="","",IFERROR(IF(VLOOKUP(B157,AUXILIAR!$O$2:$P$50,2,FALSE)="","CADASTRAR GERENTE",VLOOKUP(B157,AUXILIAR!$O$2:$P$50,2,FALSE)),"CADASTRAR GERENTE"))</f>
        <v>Danilo</v>
      </c>
      <c r="P157" s="3" t="str">
        <f t="shared" si="9"/>
        <v>yyyy0100-Loja ADE-4073</v>
      </c>
    </row>
    <row r="158" spans="1:16" x14ac:dyDescent="0.25">
      <c r="A158" s="2">
        <v>46163</v>
      </c>
      <c r="B158" s="3" t="s">
        <v>101</v>
      </c>
      <c r="C158" s="3">
        <v>4074</v>
      </c>
      <c r="D158" s="3" t="s">
        <v>114</v>
      </c>
      <c r="E158" s="3" t="s">
        <v>138</v>
      </c>
      <c r="F158" s="3"/>
      <c r="G158" s="3"/>
      <c r="H158" s="3"/>
      <c r="I158" s="3"/>
      <c r="J158" s="3" t="str">
        <f t="shared" si="6"/>
        <v>NÃO</v>
      </c>
      <c r="K158" s="3" t="str">
        <f t="shared" si="7"/>
        <v>NOK</v>
      </c>
      <c r="L158" s="11"/>
      <c r="M158" s="3"/>
      <c r="N158" s="12" t="s">
        <v>84</v>
      </c>
      <c r="O158" s="3" t="str">
        <f>IF(B158="","",IFERROR(IF(VLOOKUP(B158,AUXILIAR!$O$2:$P$50,2,FALSE)="","CADASTRAR GERENTE",VLOOKUP(B158,AUXILIAR!$O$2:$P$50,2,FALSE)),"CADASTRAR GERENTE"))</f>
        <v>Cinthya</v>
      </c>
      <c r="P158" s="3" t="str">
        <f t="shared" si="9"/>
        <v>yyyy0100-Loja Pistão-4074</v>
      </c>
    </row>
    <row r="159" spans="1:16" x14ac:dyDescent="0.25">
      <c r="A159" s="2">
        <v>46163</v>
      </c>
      <c r="B159" s="3" t="s">
        <v>102</v>
      </c>
      <c r="C159" s="3">
        <v>4075</v>
      </c>
      <c r="D159" s="3" t="s">
        <v>124</v>
      </c>
      <c r="E159" s="3" t="s">
        <v>115</v>
      </c>
      <c r="F159" s="3" t="s">
        <v>19</v>
      </c>
      <c r="G159" s="3" t="s">
        <v>19</v>
      </c>
      <c r="H159" s="3" t="s">
        <v>19</v>
      </c>
      <c r="I159" s="3" t="s">
        <v>18</v>
      </c>
      <c r="J159" s="3" t="str">
        <f t="shared" si="6"/>
        <v>NÃO</v>
      </c>
      <c r="K159" s="3" t="str">
        <f t="shared" si="7"/>
        <v>NOK</v>
      </c>
      <c r="L159" s="11" t="s">
        <v>57</v>
      </c>
      <c r="M159" s="3" t="s">
        <v>136</v>
      </c>
      <c r="N159" s="12" t="s">
        <v>84</v>
      </c>
      <c r="O159" s="3" t="str">
        <f>IF(B159="","",IFERROR(IF(VLOOKUP(B159,AUXILIAR!$O$2:$P$50,2,FALSE)="","CADASTRAR GERENTE",VLOOKUP(B159,AUXILIAR!$O$2:$P$50,2,FALSE)),"CADASTRAR GERENTE"))</f>
        <v>Neudo</v>
      </c>
      <c r="P159" s="3" t="str">
        <f t="shared" si="9"/>
        <v>yyyy0100-Loja Asa Norte-4075</v>
      </c>
    </row>
    <row r="160" spans="1:16" x14ac:dyDescent="0.25">
      <c r="A160" s="2">
        <v>46163</v>
      </c>
      <c r="B160" s="3" t="s">
        <v>106</v>
      </c>
      <c r="C160" s="3">
        <v>4076</v>
      </c>
      <c r="D160" s="3" t="s">
        <v>114</v>
      </c>
      <c r="E160" s="3" t="s">
        <v>138</v>
      </c>
      <c r="F160" s="3"/>
      <c r="G160" s="3"/>
      <c r="H160" s="3"/>
      <c r="I160" s="3"/>
      <c r="J160" s="3" t="str">
        <f t="shared" si="6"/>
        <v>NÃO</v>
      </c>
      <c r="K160" s="3" t="str">
        <f t="shared" si="7"/>
        <v>NOK</v>
      </c>
      <c r="L160" s="11"/>
      <c r="M160" s="3"/>
      <c r="N160" s="12" t="s">
        <v>84</v>
      </c>
      <c r="O160" s="3" t="str">
        <f>IF(B160="","",IFERROR(IF(VLOOKUP(B160,AUXILIAR!$O$2:$P$50,2,FALSE)="","CADASTRAR GERENTE",VLOOKUP(B160,AUXILIAR!$O$2:$P$50,2,FALSE)),"CADASTRAR GERENTE"))</f>
        <v>Danilo</v>
      </c>
      <c r="P160" s="3" t="str">
        <f t="shared" si="9"/>
        <v>yyyy0100-Loja ADE-4076</v>
      </c>
    </row>
    <row r="161" spans="1:16" x14ac:dyDescent="0.25">
      <c r="A161" s="2">
        <v>46163</v>
      </c>
      <c r="B161" s="3" t="s">
        <v>101</v>
      </c>
      <c r="C161" s="3">
        <v>4077</v>
      </c>
      <c r="D161" s="3" t="s">
        <v>114</v>
      </c>
      <c r="E161" s="3" t="s">
        <v>138</v>
      </c>
      <c r="F161" s="3"/>
      <c r="G161" s="3"/>
      <c r="H161" s="3"/>
      <c r="I161" s="3"/>
      <c r="J161" s="3" t="str">
        <f t="shared" si="6"/>
        <v>NÃO</v>
      </c>
      <c r="K161" s="3" t="str">
        <f t="shared" si="7"/>
        <v>NOK</v>
      </c>
      <c r="L161" s="11"/>
      <c r="M161" s="3"/>
      <c r="N161" s="12" t="s">
        <v>84</v>
      </c>
      <c r="O161" s="3" t="str">
        <f>IF(B161="","",IFERROR(IF(VLOOKUP(B161,AUXILIAR!$O$2:$P$50,2,FALSE)="","CADASTRAR GERENTE",VLOOKUP(B161,AUXILIAR!$O$2:$P$50,2,FALSE)),"CADASTRAR GERENTE"))</f>
        <v>Cinthya</v>
      </c>
      <c r="P161" s="3" t="str">
        <f t="shared" si="9"/>
        <v>yyyy0100-Loja Pistão-4077</v>
      </c>
    </row>
    <row r="162" spans="1:16" x14ac:dyDescent="0.25">
      <c r="A162" s="2">
        <v>46163</v>
      </c>
      <c r="B162" s="3" t="s">
        <v>101</v>
      </c>
      <c r="C162" s="3">
        <v>4078</v>
      </c>
      <c r="D162" s="3" t="s">
        <v>114</v>
      </c>
      <c r="E162" s="3" t="s">
        <v>138</v>
      </c>
      <c r="F162" s="3"/>
      <c r="G162" s="3"/>
      <c r="H162" s="3"/>
      <c r="I162" s="3"/>
      <c r="J162" s="3" t="str">
        <f t="shared" si="6"/>
        <v>NÃO</v>
      </c>
      <c r="K162" s="3" t="str">
        <f t="shared" si="7"/>
        <v>NOK</v>
      </c>
      <c r="L162" s="11"/>
      <c r="M162" s="3"/>
      <c r="N162" s="12" t="s">
        <v>84</v>
      </c>
      <c r="O162" s="3" t="str">
        <f>IF(B162="","",IFERROR(IF(VLOOKUP(B162,AUXILIAR!$O$2:$P$50,2,FALSE)="","CADASTRAR GERENTE",VLOOKUP(B162,AUXILIAR!$O$2:$P$50,2,FALSE)),"CADASTRAR GERENTE"))</f>
        <v>Cinthya</v>
      </c>
      <c r="P162" s="3" t="str">
        <f t="shared" si="9"/>
        <v>yyyy0100-Loja Pistão-4078</v>
      </c>
    </row>
    <row r="163" spans="1:16" x14ac:dyDescent="0.25">
      <c r="A163" s="2">
        <v>46163</v>
      </c>
      <c r="B163" s="3" t="s">
        <v>102</v>
      </c>
      <c r="C163" s="3">
        <v>4079</v>
      </c>
      <c r="D163" s="3" t="s">
        <v>124</v>
      </c>
      <c r="E163" s="3" t="s">
        <v>115</v>
      </c>
      <c r="F163" s="3" t="s">
        <v>19</v>
      </c>
      <c r="G163" s="3" t="s">
        <v>19</v>
      </c>
      <c r="H163" s="3" t="s">
        <v>19</v>
      </c>
      <c r="I163" s="3" t="s">
        <v>18</v>
      </c>
      <c r="J163" s="3" t="str">
        <f t="shared" si="6"/>
        <v>NÃO</v>
      </c>
      <c r="K163" s="3" t="str">
        <f t="shared" si="7"/>
        <v>NOK</v>
      </c>
      <c r="L163" s="11" t="s">
        <v>57</v>
      </c>
      <c r="M163" s="3" t="s">
        <v>136</v>
      </c>
      <c r="N163" s="12" t="s">
        <v>84</v>
      </c>
      <c r="O163" s="3" t="str">
        <f>IF(B163="","",IFERROR(IF(VLOOKUP(B163,AUXILIAR!$O$2:$P$50,2,FALSE)="","CADASTRAR GERENTE",VLOOKUP(B163,AUXILIAR!$O$2:$P$50,2,FALSE)),"CADASTRAR GERENTE"))</f>
        <v>Neudo</v>
      </c>
      <c r="P163" s="3" t="str">
        <f t="shared" si="9"/>
        <v>yyyy0100-Loja Asa Norte-4079</v>
      </c>
    </row>
    <row r="164" spans="1:16" x14ac:dyDescent="0.25">
      <c r="A164" s="2">
        <v>46163</v>
      </c>
      <c r="B164" s="3" t="s">
        <v>102</v>
      </c>
      <c r="C164" s="3">
        <v>4080</v>
      </c>
      <c r="D164" s="3" t="s">
        <v>124</v>
      </c>
      <c r="E164" s="3" t="s">
        <v>115</v>
      </c>
      <c r="F164" s="3" t="s">
        <v>19</v>
      </c>
      <c r="G164" s="3" t="s">
        <v>19</v>
      </c>
      <c r="H164" s="3" t="s">
        <v>19</v>
      </c>
      <c r="I164" s="3" t="s">
        <v>18</v>
      </c>
      <c r="J164" s="3" t="str">
        <f t="shared" si="6"/>
        <v>NÃO</v>
      </c>
      <c r="K164" s="3" t="str">
        <f t="shared" si="7"/>
        <v>NOK</v>
      </c>
      <c r="L164" s="11" t="s">
        <v>57</v>
      </c>
      <c r="M164" s="3" t="s">
        <v>136</v>
      </c>
      <c r="N164" s="12" t="s">
        <v>84</v>
      </c>
      <c r="O164" s="3" t="str">
        <f>IF(B164="","",IFERROR(IF(VLOOKUP(B164,AUXILIAR!$O$2:$P$50,2,FALSE)="","CADASTRAR GERENTE",VLOOKUP(B164,AUXILIAR!$O$2:$P$50,2,FALSE)),"CADASTRAR GERENTE"))</f>
        <v>Neudo</v>
      </c>
      <c r="P164" s="3" t="str">
        <f t="shared" si="9"/>
        <v>yyyy0100-Loja Asa Norte-4080</v>
      </c>
    </row>
    <row r="165" spans="1:16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 t="str">
        <f t="shared" si="6"/>
        <v/>
      </c>
      <c r="K165" s="3" t="str">
        <f t="shared" si="7"/>
        <v/>
      </c>
      <c r="L165" s="11"/>
      <c r="M165" s="3"/>
      <c r="N165" s="12"/>
      <c r="O165" s="3" t="str">
        <f>IF(B165="","",IFERROR(IF(VLOOKUP(B165,AUXILIAR!$O$2:$P$50,2,FALSE)="","CADASTRAR GERENTE",VLOOKUP(B165,AUXILIAR!$O$2:$P$50,2,FALSE)),"CADASTRAR GERENTE"))</f>
        <v/>
      </c>
      <c r="P165" s="3" t="str">
        <f t="shared" si="9"/>
        <v/>
      </c>
    </row>
    <row r="166" spans="1:16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 t="str">
        <f t="shared" si="6"/>
        <v/>
      </c>
      <c r="K166" s="3" t="str">
        <f t="shared" si="7"/>
        <v/>
      </c>
      <c r="L166" s="11"/>
      <c r="M166" s="3"/>
      <c r="N166" s="12"/>
      <c r="O166" s="3" t="str">
        <f>IF(B166="","",IFERROR(IF(VLOOKUP(B166,AUXILIAR!$O$2:$P$50,2,FALSE)="","CADASTRAR GERENTE",VLOOKUP(B166,AUXILIAR!$O$2:$P$50,2,FALSE)),"CADASTRAR GERENTE"))</f>
        <v/>
      </c>
      <c r="P166" s="3" t="str">
        <f t="shared" si="9"/>
        <v/>
      </c>
    </row>
    <row r="167" spans="1:16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 t="str">
        <f t="shared" si="6"/>
        <v/>
      </c>
      <c r="K167" s="3" t="str">
        <f t="shared" si="7"/>
        <v/>
      </c>
      <c r="L167" s="11"/>
      <c r="M167" s="3"/>
      <c r="N167" s="12"/>
      <c r="O167" s="3" t="str">
        <f>IF(B167="","",IFERROR(IF(VLOOKUP(B167,AUXILIAR!$O$2:$P$50,2,FALSE)="","CADASTRAR GERENTE",VLOOKUP(B167,AUXILIAR!$O$2:$P$50,2,FALSE)),"CADASTRAR GERENTE"))</f>
        <v/>
      </c>
      <c r="P167" s="3" t="str">
        <f t="shared" si="9"/>
        <v/>
      </c>
    </row>
    <row r="168" spans="1:16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 t="str">
        <f t="shared" si="6"/>
        <v/>
      </c>
      <c r="K168" s="3" t="str">
        <f t="shared" si="7"/>
        <v/>
      </c>
      <c r="L168" s="11"/>
      <c r="M168" s="3"/>
      <c r="N168" s="12"/>
      <c r="O168" s="3" t="str">
        <f>IF(B168="","",IFERROR(IF(VLOOKUP(B168,AUXILIAR!$O$2:$P$50,2,FALSE)="","CADASTRAR GERENTE",VLOOKUP(B168,AUXILIAR!$O$2:$P$50,2,FALSE)),"CADASTRAR GERENTE"))</f>
        <v/>
      </c>
      <c r="P168" s="3" t="str">
        <f t="shared" si="9"/>
        <v/>
      </c>
    </row>
    <row r="169" spans="1:16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 t="str">
        <f t="shared" si="6"/>
        <v/>
      </c>
      <c r="K169" s="3" t="str">
        <f t="shared" si="7"/>
        <v/>
      </c>
      <c r="L169" s="11"/>
      <c r="M169" s="3"/>
      <c r="N169" s="12"/>
      <c r="O169" s="3" t="str">
        <f>IF(B169="","",IFERROR(IF(VLOOKUP(B169,AUXILIAR!$O$2:$P$50,2,FALSE)="","CADASTRAR GERENTE",VLOOKUP(B169,AUXILIAR!$O$2:$P$50,2,FALSE)),"CADASTRAR GERENTE"))</f>
        <v/>
      </c>
      <c r="P169" s="3" t="str">
        <f t="shared" si="9"/>
        <v/>
      </c>
    </row>
    <row r="170" spans="1:16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 t="str">
        <f t="shared" si="6"/>
        <v/>
      </c>
      <c r="K170" s="3" t="str">
        <f t="shared" si="7"/>
        <v/>
      </c>
      <c r="L170" s="11"/>
      <c r="M170" s="3"/>
      <c r="N170" s="12"/>
      <c r="O170" s="3" t="str">
        <f>IF(B170="","",IFERROR(IF(VLOOKUP(B170,AUXILIAR!$O$2:$P$50,2,FALSE)="","CADASTRAR GERENTE",VLOOKUP(B170,AUXILIAR!$O$2:$P$50,2,FALSE)),"CADASTRAR GERENTE"))</f>
        <v/>
      </c>
      <c r="P170" s="3" t="str">
        <f t="shared" si="9"/>
        <v/>
      </c>
    </row>
    <row r="171" spans="1:16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 t="str">
        <f t="shared" si="6"/>
        <v/>
      </c>
      <c r="K171" s="3" t="str">
        <f t="shared" si="7"/>
        <v/>
      </c>
      <c r="L171" s="11"/>
      <c r="M171" s="3"/>
      <c r="N171" s="12"/>
      <c r="O171" s="3" t="str">
        <f>IF(B171="","",IFERROR(IF(VLOOKUP(B171,AUXILIAR!$O$2:$P$50,2,FALSE)="","CADASTRAR GERENTE",VLOOKUP(B171,AUXILIAR!$O$2:$P$50,2,FALSE)),"CADASTRAR GERENTE"))</f>
        <v/>
      </c>
      <c r="P171" s="3" t="str">
        <f t="shared" si="9"/>
        <v/>
      </c>
    </row>
    <row r="172" spans="1:16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 t="str">
        <f t="shared" si="6"/>
        <v/>
      </c>
      <c r="K172" s="3" t="str">
        <f t="shared" si="7"/>
        <v/>
      </c>
      <c r="L172" s="11"/>
      <c r="M172" s="3"/>
      <c r="N172" s="12"/>
      <c r="O172" s="3" t="str">
        <f>IF(B172="","",IFERROR(IF(VLOOKUP(B172,AUXILIAR!$O$2:$P$50,2,FALSE)="","CADASTRAR GERENTE",VLOOKUP(B172,AUXILIAR!$O$2:$P$50,2,FALSE)),"CADASTRAR GERENTE"))</f>
        <v/>
      </c>
      <c r="P172" s="3" t="str">
        <f t="shared" si="9"/>
        <v/>
      </c>
    </row>
    <row r="173" spans="1:16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 t="str">
        <f t="shared" si="6"/>
        <v/>
      </c>
      <c r="K173" s="3" t="str">
        <f t="shared" si="7"/>
        <v/>
      </c>
      <c r="L173" s="11"/>
      <c r="M173" s="3"/>
      <c r="N173" s="12"/>
      <c r="O173" s="3" t="str">
        <f>IF(B173="","",IFERROR(IF(VLOOKUP(B173,AUXILIAR!$O$2:$P$50,2,FALSE)="","CADASTRAR GERENTE",VLOOKUP(B173,AUXILIAR!$O$2:$P$50,2,FALSE)),"CADASTRAR GERENTE"))</f>
        <v/>
      </c>
      <c r="P173" s="3" t="str">
        <f t="shared" si="9"/>
        <v/>
      </c>
    </row>
    <row r="174" spans="1:16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 t="str">
        <f t="shared" si="6"/>
        <v/>
      </c>
      <c r="K174" s="3" t="str">
        <f t="shared" si="7"/>
        <v/>
      </c>
      <c r="L174" s="11"/>
      <c r="M174" s="3"/>
      <c r="N174" s="12"/>
      <c r="O174" s="3" t="str">
        <f>IF(B174="","",IFERROR(IF(VLOOKUP(B174,AUXILIAR!$O$2:$P$50,2,FALSE)="","CADASTRAR GERENTE",VLOOKUP(B174,AUXILIAR!$O$2:$P$50,2,FALSE)),"CADASTRAR GERENTE"))</f>
        <v/>
      </c>
      <c r="P174" s="3" t="str">
        <f t="shared" si="9"/>
        <v/>
      </c>
    </row>
    <row r="175" spans="1:16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 t="str">
        <f t="shared" si="6"/>
        <v/>
      </c>
      <c r="K175" s="3" t="str">
        <f t="shared" si="7"/>
        <v/>
      </c>
      <c r="L175" s="11"/>
      <c r="M175" s="3"/>
      <c r="N175" s="12"/>
      <c r="O175" s="3" t="str">
        <f>IF(B175="","",IFERROR(IF(VLOOKUP(B175,AUXILIAR!$O$2:$P$50,2,FALSE)="","CADASTRAR GERENTE",VLOOKUP(B175,AUXILIAR!$O$2:$P$50,2,FALSE)),"CADASTRAR GERENTE"))</f>
        <v/>
      </c>
      <c r="P175" s="3" t="str">
        <f t="shared" si="9"/>
        <v/>
      </c>
    </row>
    <row r="176" spans="1:16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 t="str">
        <f t="shared" si="6"/>
        <v/>
      </c>
      <c r="K176" s="3" t="str">
        <f t="shared" si="7"/>
        <v/>
      </c>
      <c r="L176" s="11"/>
      <c r="M176" s="3"/>
      <c r="N176" s="12"/>
      <c r="O176" s="3" t="str">
        <f>IF(B176="","",IFERROR(IF(VLOOKUP(B176,AUXILIAR!$O$2:$P$50,2,FALSE)="","CADASTRAR GERENTE",VLOOKUP(B176,AUXILIAR!$O$2:$P$50,2,FALSE)),"CADASTRAR GERENTE"))</f>
        <v/>
      </c>
      <c r="P176" s="3" t="str">
        <f t="shared" si="9"/>
        <v/>
      </c>
    </row>
    <row r="177" spans="1:16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 t="str">
        <f t="shared" si="6"/>
        <v/>
      </c>
      <c r="K177" s="3" t="str">
        <f t="shared" si="7"/>
        <v/>
      </c>
      <c r="L177" s="11"/>
      <c r="M177" s="3"/>
      <c r="N177" s="12"/>
      <c r="O177" s="3" t="str">
        <f>IF(B177="","",IFERROR(IF(VLOOKUP(B177,AUXILIAR!$O$2:$P$50,2,FALSE)="","CADASTRAR GERENTE",VLOOKUP(B177,AUXILIAR!$O$2:$P$50,2,FALSE)),"CADASTRAR GERENTE"))</f>
        <v/>
      </c>
      <c r="P177" s="3" t="str">
        <f t="shared" si="9"/>
        <v/>
      </c>
    </row>
    <row r="178" spans="1:16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 t="str">
        <f t="shared" si="6"/>
        <v/>
      </c>
      <c r="K178" s="3" t="str">
        <f t="shared" si="7"/>
        <v/>
      </c>
      <c r="L178" s="11"/>
      <c r="M178" s="3"/>
      <c r="N178" s="12"/>
      <c r="O178" s="3" t="str">
        <f>IF(B178="","",IFERROR(IF(VLOOKUP(B178,AUXILIAR!$O$2:$P$50,2,FALSE)="","CADASTRAR GERENTE",VLOOKUP(B178,AUXILIAR!$O$2:$P$50,2,FALSE)),"CADASTRAR GERENTE"))</f>
        <v/>
      </c>
      <c r="P178" s="3" t="str">
        <f t="shared" si="9"/>
        <v/>
      </c>
    </row>
    <row r="179" spans="1:16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 t="str">
        <f t="shared" si="6"/>
        <v/>
      </c>
      <c r="K179" s="3" t="str">
        <f t="shared" si="7"/>
        <v/>
      </c>
      <c r="L179" s="11"/>
      <c r="M179" s="3"/>
      <c r="N179" s="12"/>
      <c r="O179" s="3" t="str">
        <f>IF(B179="","",IFERROR(IF(VLOOKUP(B179,AUXILIAR!$O$2:$P$50,2,FALSE)="","CADASTRAR GERENTE",VLOOKUP(B179,AUXILIAR!$O$2:$P$50,2,FALSE)),"CADASTRAR GERENTE"))</f>
        <v/>
      </c>
      <c r="P179" s="3" t="str">
        <f t="shared" si="9"/>
        <v/>
      </c>
    </row>
    <row r="180" spans="1:16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 t="str">
        <f t="shared" si="6"/>
        <v/>
      </c>
      <c r="K180" s="3" t="str">
        <f t="shared" si="7"/>
        <v/>
      </c>
      <c r="L180" s="11"/>
      <c r="M180" s="3"/>
      <c r="N180" s="12"/>
      <c r="O180" s="3" t="str">
        <f>IF(B180="","",IFERROR(IF(VLOOKUP(B180,AUXILIAR!$O$2:$P$50,2,FALSE)="","CADASTRAR GERENTE",VLOOKUP(B180,AUXILIAR!$O$2:$P$50,2,FALSE)),"CADASTRAR GERENTE"))</f>
        <v/>
      </c>
      <c r="P180" s="3" t="str">
        <f t="shared" si="9"/>
        <v/>
      </c>
    </row>
    <row r="181" spans="1:16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 t="str">
        <f t="shared" si="6"/>
        <v/>
      </c>
      <c r="K181" s="3" t="str">
        <f t="shared" si="7"/>
        <v/>
      </c>
      <c r="L181" s="11"/>
      <c r="M181" s="3"/>
      <c r="N181" s="12"/>
      <c r="O181" s="3" t="str">
        <f>IF(B181="","",IFERROR(IF(VLOOKUP(B181,AUXILIAR!$O$2:$P$50,2,FALSE)="","CADASTRAR GERENTE",VLOOKUP(B181,AUXILIAR!$O$2:$P$50,2,FALSE)),"CADASTRAR GERENTE"))</f>
        <v/>
      </c>
      <c r="P181" s="3" t="str">
        <f t="shared" si="9"/>
        <v/>
      </c>
    </row>
    <row r="182" spans="1:16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 t="str">
        <f t="shared" si="6"/>
        <v/>
      </c>
      <c r="K182" s="3" t="str">
        <f t="shared" si="7"/>
        <v/>
      </c>
      <c r="L182" s="11"/>
      <c r="M182" s="3"/>
      <c r="N182" s="12"/>
      <c r="O182" s="3" t="str">
        <f>IF(B182="","",IFERROR(IF(VLOOKUP(B182,AUXILIAR!$O$2:$P$50,2,FALSE)="","CADASTRAR GERENTE",VLOOKUP(B182,AUXILIAR!$O$2:$P$50,2,FALSE)),"CADASTRAR GERENTE"))</f>
        <v/>
      </c>
      <c r="P182" s="3" t="str">
        <f t="shared" si="9"/>
        <v/>
      </c>
    </row>
    <row r="183" spans="1:16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 t="str">
        <f t="shared" si="6"/>
        <v/>
      </c>
      <c r="K183" s="3" t="str">
        <f t="shared" si="7"/>
        <v/>
      </c>
      <c r="L183" s="11"/>
      <c r="M183" s="3"/>
      <c r="N183" s="12"/>
      <c r="O183" s="3" t="str">
        <f>IF(B183="","",IFERROR(IF(VLOOKUP(B183,AUXILIAR!$O$2:$P$50,2,FALSE)="","CADASTRAR GERENTE",VLOOKUP(B183,AUXILIAR!$O$2:$P$50,2,FALSE)),"CADASTRAR GERENTE"))</f>
        <v/>
      </c>
      <c r="P183" s="3" t="str">
        <f t="shared" si="9"/>
        <v/>
      </c>
    </row>
    <row r="184" spans="1:16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 t="str">
        <f t="shared" ref="J184:J247" si="10">IF(C184="","",IF(E184="Retorno Total"," ",IF(E184="Cancelado"," ",IF(AND(G184="SIM",H184="SIM"),"SIM","NÃO"))))</f>
        <v/>
      </c>
      <c r="K184" s="3" t="str">
        <f t="shared" ref="K184:K247" si="11">IF(C184="","",IF(AND(F184="SIM",I184="SIM",J184="SIM"),"OK","NOK"))</f>
        <v/>
      </c>
      <c r="L184" s="11"/>
      <c r="M184" s="3"/>
      <c r="N184" s="12"/>
      <c r="O184" s="3" t="str">
        <f>IF(B184="","",IFERROR(IF(VLOOKUP(B184,AUXILIAR!$O$2:$P$50,2,FALSE)="","CADASTRAR GERENTE",VLOOKUP(B184,AUXILIAR!$O$2:$P$50,2,FALSE)),"CADASTRAR GERENTE"))</f>
        <v/>
      </c>
      <c r="P184" s="3" t="str">
        <f t="shared" si="9"/>
        <v/>
      </c>
    </row>
    <row r="185" spans="1:16" x14ac:dyDescent="0.25">
      <c r="A185" s="2"/>
      <c r="C185" s="3"/>
      <c r="J185" s="3" t="str">
        <f t="shared" si="10"/>
        <v/>
      </c>
      <c r="K185" s="3" t="str">
        <f t="shared" si="11"/>
        <v/>
      </c>
      <c r="O185" s="3" t="str">
        <f>IF(B185="","",IFERROR(IF(VLOOKUP(B185,AUXILIAR!$O$2:$P$50,2,FALSE)="","CADASTRAR GERENTE",VLOOKUP(B185,AUXILIAR!$O$2:$P$50,2,FALSE)),"CADASTRAR GERENTE"))</f>
        <v/>
      </c>
      <c r="P185" s="3" t="str">
        <f t="shared" si="9"/>
        <v/>
      </c>
    </row>
    <row r="186" spans="1:16" x14ac:dyDescent="0.25">
      <c r="A186" s="2"/>
      <c r="C186" s="3"/>
      <c r="J186" s="3" t="str">
        <f t="shared" si="10"/>
        <v/>
      </c>
      <c r="K186" s="3" t="str">
        <f t="shared" si="11"/>
        <v/>
      </c>
      <c r="O186" s="3" t="str">
        <f>IF(B186="","",IFERROR(IF(VLOOKUP(B186,AUXILIAR!$O$2:$P$50,2,FALSE)="","CADASTRAR GERENTE",VLOOKUP(B186,AUXILIAR!$O$2:$P$50,2,FALSE)),"CADASTRAR GERENTE"))</f>
        <v/>
      </c>
      <c r="P186" s="3" t="str">
        <f t="shared" si="9"/>
        <v/>
      </c>
    </row>
    <row r="187" spans="1:16" x14ac:dyDescent="0.25">
      <c r="A187" s="2"/>
      <c r="C187" s="3"/>
      <c r="J187" s="3" t="str">
        <f t="shared" si="10"/>
        <v/>
      </c>
      <c r="K187" s="3" t="str">
        <f t="shared" si="11"/>
        <v/>
      </c>
      <c r="O187" s="3" t="str">
        <f>IF(B187="","",IFERROR(IF(VLOOKUP(B187,AUXILIAR!$O$2:$P$50,2,FALSE)="","CADASTRAR GERENTE",VLOOKUP(B187,AUXILIAR!$O$2:$P$50,2,FALSE)),"CADASTRAR GERENTE"))</f>
        <v/>
      </c>
      <c r="P187" s="3" t="str">
        <f t="shared" si="9"/>
        <v/>
      </c>
    </row>
    <row r="188" spans="1:16" x14ac:dyDescent="0.25">
      <c r="A188" s="2"/>
      <c r="C188" s="3"/>
      <c r="J188" s="3" t="str">
        <f t="shared" si="10"/>
        <v/>
      </c>
      <c r="K188" s="3" t="str">
        <f t="shared" si="11"/>
        <v/>
      </c>
      <c r="O188" s="3" t="str">
        <f>IF(B188="","",IFERROR(IF(VLOOKUP(B188,AUXILIAR!$O$2:$P$50,2,FALSE)="","CADASTRAR GERENTE",VLOOKUP(B188,AUXILIAR!$O$2:$P$50,2,FALSE)),"CADASTRAR GERENTE"))</f>
        <v/>
      </c>
      <c r="P188" s="3" t="str">
        <f t="shared" si="9"/>
        <v/>
      </c>
    </row>
    <row r="189" spans="1:16" x14ac:dyDescent="0.25">
      <c r="A189" s="2"/>
      <c r="C189" s="3"/>
      <c r="J189" s="3" t="str">
        <f t="shared" si="10"/>
        <v/>
      </c>
      <c r="K189" s="3" t="str">
        <f t="shared" si="11"/>
        <v/>
      </c>
      <c r="O189" s="3" t="str">
        <f>IF(B189="","",IFERROR(IF(VLOOKUP(B189,AUXILIAR!$O$2:$P$50,2,FALSE)="","CADASTRAR GERENTE",VLOOKUP(B189,AUXILIAR!$O$2:$P$50,2,FALSE)),"CADASTRAR GERENTE"))</f>
        <v/>
      </c>
      <c r="P189" s="3" t="str">
        <f t="shared" si="9"/>
        <v/>
      </c>
    </row>
    <row r="190" spans="1:16" x14ac:dyDescent="0.25">
      <c r="A190" s="2"/>
      <c r="C190" s="3"/>
      <c r="J190" s="3" t="str">
        <f t="shared" si="10"/>
        <v/>
      </c>
      <c r="K190" s="3" t="str">
        <f t="shared" si="11"/>
        <v/>
      </c>
      <c r="O190" s="3" t="str">
        <f>IF(B190="","",IFERROR(IF(VLOOKUP(B190,AUXILIAR!$O$2:$P$50,2,FALSE)="","CADASTRAR GERENTE",VLOOKUP(B190,AUXILIAR!$O$2:$P$50,2,FALSE)),"CADASTRAR GERENTE"))</f>
        <v/>
      </c>
      <c r="P190" s="3" t="str">
        <f t="shared" si="9"/>
        <v/>
      </c>
    </row>
    <row r="191" spans="1:16" x14ac:dyDescent="0.25">
      <c r="A191" s="2"/>
      <c r="C191" s="3"/>
      <c r="J191" s="3" t="str">
        <f t="shared" si="10"/>
        <v/>
      </c>
      <c r="K191" s="3" t="str">
        <f t="shared" si="11"/>
        <v/>
      </c>
      <c r="O191" s="3" t="str">
        <f>IF(B191="","",IFERROR(IF(VLOOKUP(B191,AUXILIAR!$O$2:$P$50,2,FALSE)="","CADASTRAR GERENTE",VLOOKUP(B191,AUXILIAR!$O$2:$P$50,2,FALSE)),"CADASTRAR GERENTE"))</f>
        <v/>
      </c>
      <c r="P191" s="3" t="str">
        <f t="shared" si="9"/>
        <v/>
      </c>
    </row>
    <row r="192" spans="1:16" x14ac:dyDescent="0.25">
      <c r="A192" s="2"/>
      <c r="C192" s="3"/>
      <c r="J192" s="3" t="str">
        <f t="shared" si="10"/>
        <v/>
      </c>
      <c r="K192" s="3" t="str">
        <f t="shared" si="11"/>
        <v/>
      </c>
      <c r="O192" s="3" t="str">
        <f>IF(B192="","",IFERROR(IF(VLOOKUP(B192,AUXILIAR!$O$2:$P$50,2,FALSE)="","CADASTRAR GERENTE",VLOOKUP(B192,AUXILIAR!$O$2:$P$50,2,FALSE)),"CADASTRAR GERENTE"))</f>
        <v/>
      </c>
      <c r="P192" s="3" t="str">
        <f t="shared" si="9"/>
        <v/>
      </c>
    </row>
    <row r="193" spans="1:16" x14ac:dyDescent="0.25">
      <c r="A193" s="2"/>
      <c r="C193" s="3"/>
      <c r="J193" s="3" t="str">
        <f t="shared" si="10"/>
        <v/>
      </c>
      <c r="K193" s="3" t="str">
        <f t="shared" si="11"/>
        <v/>
      </c>
      <c r="O193" s="3" t="str">
        <f>IF(B193="","",IFERROR(IF(VLOOKUP(B193,AUXILIAR!$O$2:$P$50,2,FALSE)="","CADASTRAR GERENTE",VLOOKUP(B193,AUXILIAR!$O$2:$P$50,2,FALSE)),"CADASTRAR GERENTE"))</f>
        <v/>
      </c>
      <c r="P193" s="3" t="str">
        <f t="shared" si="9"/>
        <v/>
      </c>
    </row>
    <row r="194" spans="1:16" x14ac:dyDescent="0.25">
      <c r="A194" s="2"/>
      <c r="C194" s="3"/>
      <c r="J194" s="3" t="str">
        <f t="shared" si="10"/>
        <v/>
      </c>
      <c r="K194" s="3" t="str">
        <f t="shared" si="11"/>
        <v/>
      </c>
      <c r="O194" s="3" t="str">
        <f>IF(B194="","",IFERROR(IF(VLOOKUP(B194,AUXILIAR!$O$2:$P$50,2,FALSE)="","CADASTRAR GERENTE",VLOOKUP(B194,AUXILIAR!$O$2:$P$50,2,FALSE)),"CADASTRAR GERENTE"))</f>
        <v/>
      </c>
      <c r="P194" s="3" t="str">
        <f t="shared" si="9"/>
        <v/>
      </c>
    </row>
    <row r="195" spans="1:16" x14ac:dyDescent="0.25">
      <c r="A195" s="2"/>
      <c r="J195" s="3" t="str">
        <f t="shared" si="10"/>
        <v/>
      </c>
      <c r="K195" s="3" t="str">
        <f t="shared" si="11"/>
        <v/>
      </c>
      <c r="O195" s="3" t="str">
        <f>IF(B195="","",IFERROR(IF(VLOOKUP(B195,AUXILIAR!$O$2:$P$50,2,FALSE)="","CADASTRAR GERENTE",VLOOKUP(B195,AUXILIAR!$O$2:$P$50,2,FALSE)),"CADASTRAR GERENTE"))</f>
        <v/>
      </c>
      <c r="P195" s="3" t="str">
        <f t="shared" si="9"/>
        <v/>
      </c>
    </row>
    <row r="196" spans="1:16" x14ac:dyDescent="0.25">
      <c r="A196" s="2"/>
      <c r="J196" s="3" t="str">
        <f t="shared" si="10"/>
        <v/>
      </c>
      <c r="K196" s="3" t="str">
        <f t="shared" si="11"/>
        <v/>
      </c>
      <c r="O196" s="3" t="str">
        <f>IF(B196="","",IFERROR(IF(VLOOKUP(B196,AUXILIAR!$O$2:$P$50,2,FALSE)="","CADASTRAR GERENTE",VLOOKUP(B196,AUXILIAR!$O$2:$P$50,2,FALSE)),"CADASTRAR GERENTE"))</f>
        <v/>
      </c>
      <c r="P196" s="3" t="str">
        <f t="shared" ref="P196:P259" si="12">IF(C196="","",TEXT(A225,"yyyymmdd")&amp;"-"&amp;B196&amp;"-"&amp;C196)</f>
        <v/>
      </c>
    </row>
    <row r="197" spans="1:16" x14ac:dyDescent="0.25">
      <c r="A197" s="2"/>
      <c r="J197" s="3" t="str">
        <f t="shared" si="10"/>
        <v/>
      </c>
      <c r="K197" s="3" t="str">
        <f t="shared" si="11"/>
        <v/>
      </c>
      <c r="O197" s="3" t="str">
        <f>IF(B197="","",IFERROR(IF(VLOOKUP(B197,AUXILIAR!$O$2:$P$50,2,FALSE)="","CADASTRAR GERENTE",VLOOKUP(B197,AUXILIAR!$O$2:$P$50,2,FALSE)),"CADASTRAR GERENTE"))</f>
        <v/>
      </c>
      <c r="P197" s="3" t="str">
        <f t="shared" si="12"/>
        <v/>
      </c>
    </row>
    <row r="198" spans="1:16" x14ac:dyDescent="0.25">
      <c r="A198" s="2"/>
      <c r="J198" s="3" t="str">
        <f t="shared" si="10"/>
        <v/>
      </c>
      <c r="K198" s="3" t="str">
        <f t="shared" si="11"/>
        <v/>
      </c>
      <c r="O198" s="3" t="str">
        <f>IF(B198="","",IFERROR(IF(VLOOKUP(B198,AUXILIAR!$O$2:$P$50,2,FALSE)="","CADASTRAR GERENTE",VLOOKUP(B198,AUXILIAR!$O$2:$P$50,2,FALSE)),"CADASTRAR GERENTE"))</f>
        <v/>
      </c>
      <c r="P198" s="3" t="str">
        <f t="shared" si="12"/>
        <v/>
      </c>
    </row>
    <row r="199" spans="1:16" x14ac:dyDescent="0.25">
      <c r="A199" s="2"/>
      <c r="J199" s="3" t="str">
        <f t="shared" si="10"/>
        <v/>
      </c>
      <c r="K199" s="3" t="str">
        <f t="shared" si="11"/>
        <v/>
      </c>
      <c r="O199" s="3" t="str">
        <f>IF(B199="","",IFERROR(IF(VLOOKUP(B199,AUXILIAR!$O$2:$P$50,2,FALSE)="","CADASTRAR GERENTE",VLOOKUP(B199,AUXILIAR!$O$2:$P$50,2,FALSE)),"CADASTRAR GERENTE"))</f>
        <v/>
      </c>
      <c r="P199" s="3" t="str">
        <f t="shared" si="12"/>
        <v/>
      </c>
    </row>
    <row r="200" spans="1:16" x14ac:dyDescent="0.25">
      <c r="A200" s="2"/>
      <c r="J200" s="3" t="str">
        <f t="shared" si="10"/>
        <v/>
      </c>
      <c r="K200" s="3" t="str">
        <f t="shared" si="11"/>
        <v/>
      </c>
      <c r="O200" s="3" t="str">
        <f>IF(B200="","",IFERROR(IF(VLOOKUP(B200,AUXILIAR!$O$2:$P$50,2,FALSE)="","CADASTRAR GERENTE",VLOOKUP(B200,AUXILIAR!$O$2:$P$50,2,FALSE)),"CADASTRAR GERENTE"))</f>
        <v/>
      </c>
      <c r="P200" s="3" t="str">
        <f t="shared" si="12"/>
        <v/>
      </c>
    </row>
    <row r="201" spans="1:16" x14ac:dyDescent="0.25">
      <c r="A201" s="2"/>
      <c r="J201" s="3" t="str">
        <f t="shared" si="10"/>
        <v/>
      </c>
      <c r="K201" s="3" t="str">
        <f t="shared" si="11"/>
        <v/>
      </c>
      <c r="O201" s="3" t="str">
        <f>IF(B201="","",IFERROR(IF(VLOOKUP(B201,AUXILIAR!$O$2:$P$50,2,FALSE)="","CADASTRAR GERENTE",VLOOKUP(B201,AUXILIAR!$O$2:$P$50,2,FALSE)),"CADASTRAR GERENTE"))</f>
        <v/>
      </c>
      <c r="P201" s="3" t="str">
        <f t="shared" si="12"/>
        <v/>
      </c>
    </row>
    <row r="202" spans="1:16" x14ac:dyDescent="0.25">
      <c r="A202" s="2"/>
      <c r="J202" s="3" t="str">
        <f t="shared" si="10"/>
        <v/>
      </c>
      <c r="K202" s="3" t="str">
        <f t="shared" si="11"/>
        <v/>
      </c>
      <c r="O202" s="3" t="str">
        <f>IF(B202="","",IFERROR(IF(VLOOKUP(B202,AUXILIAR!$O$2:$P$50,2,FALSE)="","CADASTRAR GERENTE",VLOOKUP(B202,AUXILIAR!$O$2:$P$50,2,FALSE)),"CADASTRAR GERENTE"))</f>
        <v/>
      </c>
      <c r="P202" s="3" t="str">
        <f t="shared" si="12"/>
        <v/>
      </c>
    </row>
    <row r="203" spans="1:16" x14ac:dyDescent="0.25">
      <c r="A203" s="2"/>
      <c r="J203" s="3" t="str">
        <f t="shared" si="10"/>
        <v/>
      </c>
      <c r="K203" s="3" t="str">
        <f t="shared" si="11"/>
        <v/>
      </c>
      <c r="O203" s="3" t="str">
        <f>IF(B203="","",IFERROR(IF(VLOOKUP(B203,AUXILIAR!$O$2:$P$50,2,FALSE)="","CADASTRAR GERENTE",VLOOKUP(B203,AUXILIAR!$O$2:$P$50,2,FALSE)),"CADASTRAR GERENTE"))</f>
        <v/>
      </c>
      <c r="P203" s="3" t="str">
        <f t="shared" si="12"/>
        <v/>
      </c>
    </row>
    <row r="204" spans="1:16" x14ac:dyDescent="0.25">
      <c r="A204" s="2"/>
      <c r="J204" s="3" t="str">
        <f t="shared" si="10"/>
        <v/>
      </c>
      <c r="K204" s="3" t="str">
        <f t="shared" si="11"/>
        <v/>
      </c>
      <c r="O204" s="3" t="str">
        <f>IF(B204="","",IFERROR(IF(VLOOKUP(B204,AUXILIAR!$O$2:$P$50,2,FALSE)="","CADASTRAR GERENTE",VLOOKUP(B204,AUXILIAR!$O$2:$P$50,2,FALSE)),"CADASTRAR GERENTE"))</f>
        <v/>
      </c>
      <c r="P204" s="3" t="str">
        <f t="shared" si="12"/>
        <v/>
      </c>
    </row>
    <row r="205" spans="1:16" x14ac:dyDescent="0.25">
      <c r="A205" s="2"/>
      <c r="J205" s="3" t="str">
        <f t="shared" si="10"/>
        <v/>
      </c>
      <c r="K205" s="3" t="str">
        <f t="shared" si="11"/>
        <v/>
      </c>
      <c r="O205" s="3" t="str">
        <f>IF(B205="","",IFERROR(IF(VLOOKUP(B205,AUXILIAR!$O$2:$P$50,2,FALSE)="","CADASTRAR GERENTE",VLOOKUP(B205,AUXILIAR!$O$2:$P$50,2,FALSE)),"CADASTRAR GERENTE"))</f>
        <v/>
      </c>
      <c r="P205" s="3" t="str">
        <f t="shared" si="12"/>
        <v/>
      </c>
    </row>
    <row r="206" spans="1:16" x14ac:dyDescent="0.25">
      <c r="A206" s="2"/>
      <c r="J206" s="3" t="str">
        <f t="shared" si="10"/>
        <v/>
      </c>
      <c r="K206" s="3" t="str">
        <f t="shared" si="11"/>
        <v/>
      </c>
      <c r="O206" s="3" t="str">
        <f>IF(B206="","",IFERROR(IF(VLOOKUP(B206,AUXILIAR!$O$2:$P$50,2,FALSE)="","CADASTRAR GERENTE",VLOOKUP(B206,AUXILIAR!$O$2:$P$50,2,FALSE)),"CADASTRAR GERENTE"))</f>
        <v/>
      </c>
      <c r="P206" s="3" t="str">
        <f t="shared" si="12"/>
        <v/>
      </c>
    </row>
    <row r="207" spans="1:16" x14ac:dyDescent="0.25">
      <c r="A207" s="2"/>
      <c r="J207" s="3" t="str">
        <f t="shared" si="10"/>
        <v/>
      </c>
      <c r="K207" s="3" t="str">
        <f t="shared" si="11"/>
        <v/>
      </c>
      <c r="O207" s="3" t="str">
        <f>IF(B207="","",IFERROR(IF(VLOOKUP(B207,AUXILIAR!$O$2:$P$50,2,FALSE)="","CADASTRAR GERENTE",VLOOKUP(B207,AUXILIAR!$O$2:$P$50,2,FALSE)),"CADASTRAR GERENTE"))</f>
        <v/>
      </c>
      <c r="P207" s="3" t="str">
        <f t="shared" si="12"/>
        <v/>
      </c>
    </row>
    <row r="208" spans="1:16" x14ac:dyDescent="0.25">
      <c r="A208" s="2"/>
      <c r="J208" s="3" t="str">
        <f t="shared" si="10"/>
        <v/>
      </c>
      <c r="K208" s="3" t="str">
        <f t="shared" si="11"/>
        <v/>
      </c>
      <c r="O208" s="3" t="str">
        <f>IF(B208="","",IFERROR(IF(VLOOKUP(B208,AUXILIAR!$O$2:$P$50,2,FALSE)="","CADASTRAR GERENTE",VLOOKUP(B208,AUXILIAR!$O$2:$P$50,2,FALSE)),"CADASTRAR GERENTE"))</f>
        <v/>
      </c>
      <c r="P208" s="3" t="str">
        <f t="shared" si="12"/>
        <v/>
      </c>
    </row>
    <row r="209" spans="1:16" x14ac:dyDescent="0.25">
      <c r="A209" s="2"/>
      <c r="J209" s="3" t="str">
        <f t="shared" si="10"/>
        <v/>
      </c>
      <c r="K209" s="3" t="str">
        <f t="shared" si="11"/>
        <v/>
      </c>
      <c r="O209" s="3" t="str">
        <f>IF(B209="","",IFERROR(IF(VLOOKUP(B209,AUXILIAR!$O$2:$P$50,2,FALSE)="","CADASTRAR GERENTE",VLOOKUP(B209,AUXILIAR!$O$2:$P$50,2,FALSE)),"CADASTRAR GERENTE"))</f>
        <v/>
      </c>
      <c r="P209" s="3" t="str">
        <f t="shared" si="12"/>
        <v/>
      </c>
    </row>
    <row r="210" spans="1:16" x14ac:dyDescent="0.25">
      <c r="A210" s="2"/>
      <c r="J210" s="3" t="str">
        <f t="shared" si="10"/>
        <v/>
      </c>
      <c r="K210" s="3" t="str">
        <f t="shared" si="11"/>
        <v/>
      </c>
      <c r="O210" s="3" t="str">
        <f>IF(B210="","",IFERROR(IF(VLOOKUP(B210,AUXILIAR!$O$2:$P$50,2,FALSE)="","CADASTRAR GERENTE",VLOOKUP(B210,AUXILIAR!$O$2:$P$50,2,FALSE)),"CADASTRAR GERENTE"))</f>
        <v/>
      </c>
      <c r="P210" s="3" t="str">
        <f t="shared" si="12"/>
        <v/>
      </c>
    </row>
    <row r="211" spans="1:16" x14ac:dyDescent="0.25">
      <c r="A211" s="2"/>
      <c r="J211" s="3" t="str">
        <f t="shared" si="10"/>
        <v/>
      </c>
      <c r="K211" s="3" t="str">
        <f t="shared" si="11"/>
        <v/>
      </c>
      <c r="O211" s="3" t="str">
        <f>IF(B211="","",IFERROR(IF(VLOOKUP(B211,AUXILIAR!$O$2:$P$50,2,FALSE)="","CADASTRAR GERENTE",VLOOKUP(B211,AUXILIAR!$O$2:$P$50,2,FALSE)),"CADASTRAR GERENTE"))</f>
        <v/>
      </c>
      <c r="P211" s="3" t="str">
        <f t="shared" si="12"/>
        <v/>
      </c>
    </row>
    <row r="212" spans="1:16" x14ac:dyDescent="0.25">
      <c r="A212" s="2"/>
      <c r="J212" s="3" t="str">
        <f t="shared" si="10"/>
        <v/>
      </c>
      <c r="K212" s="3" t="str">
        <f t="shared" si="11"/>
        <v/>
      </c>
      <c r="O212" s="3" t="str">
        <f>IF(B212="","",IFERROR(IF(VLOOKUP(B212,AUXILIAR!$O$2:$P$50,2,FALSE)="","CADASTRAR GERENTE",VLOOKUP(B212,AUXILIAR!$O$2:$P$50,2,FALSE)),"CADASTRAR GERENTE"))</f>
        <v/>
      </c>
      <c r="P212" s="3" t="str">
        <f t="shared" si="12"/>
        <v/>
      </c>
    </row>
    <row r="213" spans="1:16" x14ac:dyDescent="0.25">
      <c r="A213" s="2"/>
      <c r="J213" s="3" t="str">
        <f t="shared" si="10"/>
        <v/>
      </c>
      <c r="K213" s="3" t="str">
        <f t="shared" si="11"/>
        <v/>
      </c>
      <c r="O213" s="3" t="str">
        <f>IF(B213="","",IFERROR(IF(VLOOKUP(B213,AUXILIAR!$O$2:$P$50,2,FALSE)="","CADASTRAR GERENTE",VLOOKUP(B213,AUXILIAR!$O$2:$P$50,2,FALSE)),"CADASTRAR GERENTE"))</f>
        <v/>
      </c>
      <c r="P213" s="3" t="str">
        <f t="shared" si="12"/>
        <v/>
      </c>
    </row>
    <row r="214" spans="1:16" x14ac:dyDescent="0.25">
      <c r="A214" s="4"/>
      <c r="J214" s="3" t="str">
        <f t="shared" si="10"/>
        <v/>
      </c>
      <c r="K214" s="3" t="str">
        <f t="shared" si="11"/>
        <v/>
      </c>
      <c r="O214" s="3" t="str">
        <f>IF(B214="","",IFERROR(IF(VLOOKUP(B214,AUXILIAR!$O$2:$P$50,2,FALSE)="","CADASTRAR GERENTE",VLOOKUP(B214,AUXILIAR!$O$2:$P$50,2,FALSE)),"CADASTRAR GERENTE"))</f>
        <v/>
      </c>
      <c r="P214" s="3" t="str">
        <f t="shared" si="12"/>
        <v/>
      </c>
    </row>
    <row r="215" spans="1:16" x14ac:dyDescent="0.25">
      <c r="A215" s="4"/>
      <c r="J215" s="3" t="str">
        <f t="shared" si="10"/>
        <v/>
      </c>
      <c r="K215" s="3" t="str">
        <f t="shared" si="11"/>
        <v/>
      </c>
      <c r="O215" s="3" t="str">
        <f>IF(B215="","",IFERROR(IF(VLOOKUP(B215,AUXILIAR!$O$2:$P$50,2,FALSE)="","CADASTRAR GERENTE",VLOOKUP(B215,AUXILIAR!$O$2:$P$50,2,FALSE)),"CADASTRAR GERENTE"))</f>
        <v/>
      </c>
      <c r="P215" s="3" t="str">
        <f t="shared" si="12"/>
        <v/>
      </c>
    </row>
    <row r="216" spans="1:16" x14ac:dyDescent="0.25">
      <c r="A216" s="4"/>
      <c r="J216" s="3" t="str">
        <f t="shared" si="10"/>
        <v/>
      </c>
      <c r="K216" s="3" t="str">
        <f t="shared" si="11"/>
        <v/>
      </c>
      <c r="O216" s="3" t="str">
        <f>IF(B216="","",IFERROR(IF(VLOOKUP(B216,AUXILIAR!$O$2:$P$50,2,FALSE)="","CADASTRAR GERENTE",VLOOKUP(B216,AUXILIAR!$O$2:$P$50,2,FALSE)),"CADASTRAR GERENTE"))</f>
        <v/>
      </c>
      <c r="P216" s="3" t="str">
        <f t="shared" si="12"/>
        <v/>
      </c>
    </row>
    <row r="217" spans="1:16" x14ac:dyDescent="0.25">
      <c r="A217" s="4"/>
      <c r="J217" s="3" t="str">
        <f t="shared" si="10"/>
        <v/>
      </c>
      <c r="K217" s="3" t="str">
        <f t="shared" si="11"/>
        <v/>
      </c>
      <c r="O217" s="3" t="str">
        <f>IF(B217="","",IFERROR(IF(VLOOKUP(B217,AUXILIAR!$O$2:$P$50,2,FALSE)="","CADASTRAR GERENTE",VLOOKUP(B217,AUXILIAR!$O$2:$P$50,2,FALSE)),"CADASTRAR GERENTE"))</f>
        <v/>
      </c>
      <c r="P217" s="3" t="str">
        <f t="shared" si="12"/>
        <v/>
      </c>
    </row>
    <row r="218" spans="1:16" x14ac:dyDescent="0.25">
      <c r="A218" s="4"/>
      <c r="J218" s="3" t="str">
        <f t="shared" si="10"/>
        <v/>
      </c>
      <c r="K218" s="3" t="str">
        <f t="shared" si="11"/>
        <v/>
      </c>
      <c r="O218" s="3" t="str">
        <f>IF(B218="","",IFERROR(IF(VLOOKUP(B218,AUXILIAR!$O$2:$P$50,2,FALSE)="","CADASTRAR GERENTE",VLOOKUP(B218,AUXILIAR!$O$2:$P$50,2,FALSE)),"CADASTRAR GERENTE"))</f>
        <v/>
      </c>
      <c r="P218" s="3" t="str">
        <f t="shared" si="12"/>
        <v/>
      </c>
    </row>
    <row r="219" spans="1:16" x14ac:dyDescent="0.25">
      <c r="A219" s="4"/>
      <c r="J219" s="3" t="str">
        <f t="shared" si="10"/>
        <v/>
      </c>
      <c r="K219" s="3" t="str">
        <f t="shared" si="11"/>
        <v/>
      </c>
      <c r="O219" s="3" t="str">
        <f>IF(B219="","",IFERROR(IF(VLOOKUP(B219,AUXILIAR!$O$2:$P$50,2,FALSE)="","CADASTRAR GERENTE",VLOOKUP(B219,AUXILIAR!$O$2:$P$50,2,FALSE)),"CADASTRAR GERENTE"))</f>
        <v/>
      </c>
      <c r="P219" s="3" t="str">
        <f t="shared" si="12"/>
        <v/>
      </c>
    </row>
    <row r="220" spans="1:16" x14ac:dyDescent="0.25">
      <c r="A220" s="4"/>
      <c r="J220" s="3" t="str">
        <f t="shared" si="10"/>
        <v/>
      </c>
      <c r="K220" s="3" t="str">
        <f t="shared" si="11"/>
        <v/>
      </c>
      <c r="O220" s="3" t="str">
        <f>IF(B220="","",IFERROR(IF(VLOOKUP(B220,AUXILIAR!$O$2:$P$50,2,FALSE)="","CADASTRAR GERENTE",VLOOKUP(B220,AUXILIAR!$O$2:$P$50,2,FALSE)),"CADASTRAR GERENTE"))</f>
        <v/>
      </c>
      <c r="P220" s="3" t="str">
        <f t="shared" si="12"/>
        <v/>
      </c>
    </row>
    <row r="221" spans="1:16" x14ac:dyDescent="0.25">
      <c r="A221" s="4"/>
      <c r="J221" s="3" t="str">
        <f t="shared" si="10"/>
        <v/>
      </c>
      <c r="K221" s="3" t="str">
        <f t="shared" si="11"/>
        <v/>
      </c>
      <c r="O221" s="3" t="str">
        <f>IF(B221="","",IFERROR(IF(VLOOKUP(B221,AUXILIAR!$O$2:$P$50,2,FALSE)="","CADASTRAR GERENTE",VLOOKUP(B221,AUXILIAR!$O$2:$P$50,2,FALSE)),"CADASTRAR GERENTE"))</f>
        <v/>
      </c>
      <c r="P221" s="3" t="str">
        <f t="shared" si="12"/>
        <v/>
      </c>
    </row>
    <row r="222" spans="1:16" x14ac:dyDescent="0.25">
      <c r="A222" s="4"/>
      <c r="J222" s="3" t="str">
        <f t="shared" si="10"/>
        <v/>
      </c>
      <c r="K222" s="3" t="str">
        <f t="shared" si="11"/>
        <v/>
      </c>
      <c r="O222" s="3" t="str">
        <f>IF(B222="","",IFERROR(IF(VLOOKUP(B222,AUXILIAR!$O$2:$P$50,2,FALSE)="","CADASTRAR GERENTE",VLOOKUP(B222,AUXILIAR!$O$2:$P$50,2,FALSE)),"CADASTRAR GERENTE"))</f>
        <v/>
      </c>
      <c r="P222" s="3" t="str">
        <f t="shared" si="12"/>
        <v/>
      </c>
    </row>
    <row r="223" spans="1:16" x14ac:dyDescent="0.25">
      <c r="A223" s="4"/>
      <c r="J223" s="3" t="str">
        <f t="shared" si="10"/>
        <v/>
      </c>
      <c r="K223" s="3" t="str">
        <f t="shared" si="11"/>
        <v/>
      </c>
      <c r="O223" s="3" t="str">
        <f>IF(B223="","",IFERROR(IF(VLOOKUP(B223,AUXILIAR!$O$2:$P$50,2,FALSE)="","CADASTRAR GERENTE",VLOOKUP(B223,AUXILIAR!$O$2:$P$50,2,FALSE)),"CADASTRAR GERENTE"))</f>
        <v/>
      </c>
      <c r="P223" s="3" t="str">
        <f t="shared" si="12"/>
        <v/>
      </c>
    </row>
    <row r="224" spans="1:16" x14ac:dyDescent="0.25">
      <c r="A224" s="4"/>
      <c r="J224" s="3" t="str">
        <f t="shared" si="10"/>
        <v/>
      </c>
      <c r="K224" s="3" t="str">
        <f t="shared" si="11"/>
        <v/>
      </c>
      <c r="O224" s="3" t="str">
        <f>IF(B224="","",IFERROR(IF(VLOOKUP(B224,AUXILIAR!$O$2:$P$50,2,FALSE)="","CADASTRAR GERENTE",VLOOKUP(B224,AUXILIAR!$O$2:$P$50,2,FALSE)),"CADASTRAR GERENTE"))</f>
        <v/>
      </c>
      <c r="P224" s="3" t="str">
        <f t="shared" si="12"/>
        <v/>
      </c>
    </row>
    <row r="225" spans="1:16" x14ac:dyDescent="0.25">
      <c r="A225" s="4"/>
      <c r="J225" s="3" t="str">
        <f t="shared" si="10"/>
        <v/>
      </c>
      <c r="K225" s="3" t="str">
        <f t="shared" si="11"/>
        <v/>
      </c>
      <c r="O225" s="3" t="str">
        <f>IF(B225="","",IFERROR(IF(VLOOKUP(B225,AUXILIAR!$O$2:$P$50,2,FALSE)="","CADASTRAR GERENTE",VLOOKUP(B225,AUXILIAR!$O$2:$P$50,2,FALSE)),"CADASTRAR GERENTE"))</f>
        <v/>
      </c>
      <c r="P225" s="3" t="str">
        <f t="shared" si="12"/>
        <v/>
      </c>
    </row>
    <row r="226" spans="1:16" x14ac:dyDescent="0.25">
      <c r="A226" s="4"/>
      <c r="J226" s="3" t="str">
        <f t="shared" si="10"/>
        <v/>
      </c>
      <c r="K226" s="3" t="str">
        <f t="shared" si="11"/>
        <v/>
      </c>
      <c r="O226" s="3" t="str">
        <f>IF(B226="","",IFERROR(IF(VLOOKUP(B226,AUXILIAR!$O$2:$P$50,2,FALSE)="","CADASTRAR GERENTE",VLOOKUP(B226,AUXILIAR!$O$2:$P$50,2,FALSE)),"CADASTRAR GERENTE"))</f>
        <v/>
      </c>
      <c r="P226" s="3" t="str">
        <f t="shared" si="12"/>
        <v/>
      </c>
    </row>
    <row r="227" spans="1:16" x14ac:dyDescent="0.25">
      <c r="A227" s="4"/>
      <c r="J227" s="3" t="str">
        <f t="shared" si="10"/>
        <v/>
      </c>
      <c r="K227" s="3" t="str">
        <f t="shared" si="11"/>
        <v/>
      </c>
      <c r="O227" s="3" t="str">
        <f>IF(B227="","",IFERROR(IF(VLOOKUP(B227,AUXILIAR!$O$2:$P$50,2,FALSE)="","CADASTRAR GERENTE",VLOOKUP(B227,AUXILIAR!$O$2:$P$50,2,FALSE)),"CADASTRAR GERENTE"))</f>
        <v/>
      </c>
      <c r="P227" s="3" t="str">
        <f t="shared" si="12"/>
        <v/>
      </c>
    </row>
    <row r="228" spans="1:16" x14ac:dyDescent="0.25">
      <c r="A228" s="4"/>
      <c r="J228" s="3" t="str">
        <f t="shared" si="10"/>
        <v/>
      </c>
      <c r="K228" s="3" t="str">
        <f t="shared" si="11"/>
        <v/>
      </c>
      <c r="O228" s="3" t="str">
        <f>IF(B228="","",IFERROR(IF(VLOOKUP(B228,AUXILIAR!$O$2:$P$50,2,FALSE)="","CADASTRAR GERENTE",VLOOKUP(B228,AUXILIAR!$O$2:$P$50,2,FALSE)),"CADASTRAR GERENTE"))</f>
        <v/>
      </c>
      <c r="P228" s="3" t="str">
        <f t="shared" si="12"/>
        <v/>
      </c>
    </row>
    <row r="229" spans="1:16" x14ac:dyDescent="0.25">
      <c r="A229" s="4"/>
      <c r="J229" s="3" t="str">
        <f t="shared" si="10"/>
        <v/>
      </c>
      <c r="K229" s="3" t="str">
        <f t="shared" si="11"/>
        <v/>
      </c>
      <c r="O229" s="3" t="str">
        <f>IF(B229="","",IFERROR(IF(VLOOKUP(B229,AUXILIAR!$O$2:$P$50,2,FALSE)="","CADASTRAR GERENTE",VLOOKUP(B229,AUXILIAR!$O$2:$P$50,2,FALSE)),"CADASTRAR GERENTE"))</f>
        <v/>
      </c>
      <c r="P229" s="3" t="str">
        <f t="shared" si="12"/>
        <v/>
      </c>
    </row>
    <row r="230" spans="1:16" x14ac:dyDescent="0.25">
      <c r="A230" s="4"/>
      <c r="J230" s="3" t="str">
        <f t="shared" si="10"/>
        <v/>
      </c>
      <c r="K230" s="3" t="str">
        <f t="shared" si="11"/>
        <v/>
      </c>
      <c r="O230" s="3" t="str">
        <f>IF(B230="","",IFERROR(IF(VLOOKUP(B230,AUXILIAR!$O$2:$P$50,2,FALSE)="","CADASTRAR GERENTE",VLOOKUP(B230,AUXILIAR!$O$2:$P$50,2,FALSE)),"CADASTRAR GERENTE"))</f>
        <v/>
      </c>
      <c r="P230" s="3" t="str">
        <f t="shared" si="12"/>
        <v/>
      </c>
    </row>
    <row r="231" spans="1:16" x14ac:dyDescent="0.25">
      <c r="A231" s="4"/>
      <c r="J231" s="3" t="str">
        <f t="shared" si="10"/>
        <v/>
      </c>
      <c r="K231" s="3" t="str">
        <f t="shared" si="11"/>
        <v/>
      </c>
      <c r="O231" s="3" t="str">
        <f>IF(B231="","",IFERROR(IF(VLOOKUP(B231,AUXILIAR!$O$2:$P$50,2,FALSE)="","CADASTRAR GERENTE",VLOOKUP(B231,AUXILIAR!$O$2:$P$50,2,FALSE)),"CADASTRAR GERENTE"))</f>
        <v/>
      </c>
      <c r="P231" s="3" t="str">
        <f t="shared" si="12"/>
        <v/>
      </c>
    </row>
    <row r="232" spans="1:16" x14ac:dyDescent="0.25">
      <c r="A232" s="4"/>
      <c r="J232" s="3" t="str">
        <f t="shared" si="10"/>
        <v/>
      </c>
      <c r="K232" s="3" t="str">
        <f t="shared" si="11"/>
        <v/>
      </c>
      <c r="O232" s="3" t="str">
        <f>IF(B232="","",IFERROR(IF(VLOOKUP(B232,AUXILIAR!$O$2:$P$50,2,FALSE)="","CADASTRAR GERENTE",VLOOKUP(B232,AUXILIAR!$O$2:$P$50,2,FALSE)),"CADASTRAR GERENTE"))</f>
        <v/>
      </c>
      <c r="P232" s="3" t="str">
        <f t="shared" si="12"/>
        <v/>
      </c>
    </row>
    <row r="233" spans="1:16" x14ac:dyDescent="0.25">
      <c r="A233" s="4"/>
      <c r="J233" s="3" t="str">
        <f t="shared" si="10"/>
        <v/>
      </c>
      <c r="K233" s="3" t="str">
        <f t="shared" si="11"/>
        <v/>
      </c>
      <c r="O233" s="3" t="str">
        <f>IF(B233="","",IFERROR(IF(VLOOKUP(B233,AUXILIAR!$O$2:$P$50,2,FALSE)="","CADASTRAR GERENTE",VLOOKUP(B233,AUXILIAR!$O$2:$P$50,2,FALSE)),"CADASTRAR GERENTE"))</f>
        <v/>
      </c>
      <c r="P233" s="3" t="str">
        <f t="shared" si="12"/>
        <v/>
      </c>
    </row>
    <row r="234" spans="1:16" x14ac:dyDescent="0.25">
      <c r="A234" s="4"/>
      <c r="J234" s="3" t="str">
        <f t="shared" si="10"/>
        <v/>
      </c>
      <c r="K234" s="3" t="str">
        <f t="shared" si="11"/>
        <v/>
      </c>
      <c r="O234" s="3" t="str">
        <f>IF(B234="","",IFERROR(IF(VLOOKUP(B234,AUXILIAR!$O$2:$P$50,2,FALSE)="","CADASTRAR GERENTE",VLOOKUP(B234,AUXILIAR!$O$2:$P$50,2,FALSE)),"CADASTRAR GERENTE"))</f>
        <v/>
      </c>
      <c r="P234" s="3" t="str">
        <f t="shared" si="12"/>
        <v/>
      </c>
    </row>
    <row r="235" spans="1:16" x14ac:dyDescent="0.25">
      <c r="A235" s="4"/>
      <c r="J235" s="3" t="str">
        <f t="shared" si="10"/>
        <v/>
      </c>
      <c r="K235" s="3" t="str">
        <f t="shared" si="11"/>
        <v/>
      </c>
      <c r="O235" s="3" t="str">
        <f>IF(B235="","",IFERROR(IF(VLOOKUP(B235,AUXILIAR!$O$2:$P$50,2,FALSE)="","CADASTRAR GERENTE",VLOOKUP(B235,AUXILIAR!$O$2:$P$50,2,FALSE)),"CADASTRAR GERENTE"))</f>
        <v/>
      </c>
      <c r="P235" s="3" t="str">
        <f t="shared" si="12"/>
        <v/>
      </c>
    </row>
    <row r="236" spans="1:16" x14ac:dyDescent="0.25">
      <c r="A236" s="4"/>
      <c r="J236" s="3" t="str">
        <f t="shared" si="10"/>
        <v/>
      </c>
      <c r="K236" s="3" t="str">
        <f t="shared" si="11"/>
        <v/>
      </c>
      <c r="O236" s="3" t="str">
        <f>IF(B236="","",IFERROR(IF(VLOOKUP(B236,AUXILIAR!$O$2:$P$50,2,FALSE)="","CADASTRAR GERENTE",VLOOKUP(B236,AUXILIAR!$O$2:$P$50,2,FALSE)),"CADASTRAR GERENTE"))</f>
        <v/>
      </c>
      <c r="P236" s="3" t="str">
        <f t="shared" si="12"/>
        <v/>
      </c>
    </row>
    <row r="237" spans="1:16" x14ac:dyDescent="0.25">
      <c r="A237" s="4"/>
      <c r="J237" s="3" t="str">
        <f t="shared" si="10"/>
        <v/>
      </c>
      <c r="K237" s="3" t="str">
        <f t="shared" si="11"/>
        <v/>
      </c>
      <c r="O237" s="3" t="str">
        <f>IF(B237="","",IFERROR(IF(VLOOKUP(B237,AUXILIAR!$O$2:$P$50,2,FALSE)="","CADASTRAR GERENTE",VLOOKUP(B237,AUXILIAR!$O$2:$P$50,2,FALSE)),"CADASTRAR GERENTE"))</f>
        <v/>
      </c>
      <c r="P237" s="3" t="str">
        <f t="shared" si="12"/>
        <v/>
      </c>
    </row>
    <row r="238" spans="1:16" x14ac:dyDescent="0.25">
      <c r="A238" s="4"/>
      <c r="J238" s="3" t="str">
        <f t="shared" si="10"/>
        <v/>
      </c>
      <c r="K238" s="3" t="str">
        <f t="shared" si="11"/>
        <v/>
      </c>
      <c r="O238" s="3" t="str">
        <f>IF(B238="","",IFERROR(IF(VLOOKUP(B238,AUXILIAR!$O$2:$P$50,2,FALSE)="","CADASTRAR GERENTE",VLOOKUP(B238,AUXILIAR!$O$2:$P$50,2,FALSE)),"CADASTRAR GERENTE"))</f>
        <v/>
      </c>
      <c r="P238" s="3" t="str">
        <f t="shared" si="12"/>
        <v/>
      </c>
    </row>
    <row r="239" spans="1:16" x14ac:dyDescent="0.25">
      <c r="A239" s="4"/>
      <c r="J239" s="3" t="str">
        <f t="shared" si="10"/>
        <v/>
      </c>
      <c r="K239" s="3" t="str">
        <f t="shared" si="11"/>
        <v/>
      </c>
      <c r="O239" s="3" t="str">
        <f>IF(B239="","",IFERROR(IF(VLOOKUP(B239,AUXILIAR!$O$2:$P$50,2,FALSE)="","CADASTRAR GERENTE",VLOOKUP(B239,AUXILIAR!$O$2:$P$50,2,FALSE)),"CADASTRAR GERENTE"))</f>
        <v/>
      </c>
      <c r="P239" s="3" t="str">
        <f t="shared" si="12"/>
        <v/>
      </c>
    </row>
    <row r="240" spans="1:16" x14ac:dyDescent="0.25">
      <c r="A240" s="4"/>
      <c r="J240" s="3" t="str">
        <f t="shared" si="10"/>
        <v/>
      </c>
      <c r="K240" s="3" t="str">
        <f t="shared" si="11"/>
        <v/>
      </c>
      <c r="O240" s="3" t="str">
        <f>IF(B240="","",IFERROR(IF(VLOOKUP(B240,AUXILIAR!$O$2:$P$50,2,FALSE)="","CADASTRAR GERENTE",VLOOKUP(B240,AUXILIAR!$O$2:$P$50,2,FALSE)),"CADASTRAR GERENTE"))</f>
        <v/>
      </c>
      <c r="P240" s="3" t="str">
        <f t="shared" si="12"/>
        <v/>
      </c>
    </row>
    <row r="241" spans="1:16" x14ac:dyDescent="0.25">
      <c r="A241" s="4"/>
      <c r="J241" s="3" t="str">
        <f t="shared" si="10"/>
        <v/>
      </c>
      <c r="K241" s="3" t="str">
        <f t="shared" si="11"/>
        <v/>
      </c>
      <c r="O241" s="3" t="str">
        <f>IF(B241="","",IFERROR(IF(VLOOKUP(B241,AUXILIAR!$O$2:$P$50,2,FALSE)="","CADASTRAR GERENTE",VLOOKUP(B241,AUXILIAR!$O$2:$P$50,2,FALSE)),"CADASTRAR GERENTE"))</f>
        <v/>
      </c>
      <c r="P241" s="3" t="str">
        <f t="shared" si="12"/>
        <v/>
      </c>
    </row>
    <row r="242" spans="1:16" x14ac:dyDescent="0.25">
      <c r="A242" s="4"/>
      <c r="J242" s="3" t="str">
        <f t="shared" si="10"/>
        <v/>
      </c>
      <c r="K242" s="3" t="str">
        <f t="shared" si="11"/>
        <v/>
      </c>
      <c r="O242" s="3" t="str">
        <f>IF(B242="","",IFERROR(IF(VLOOKUP(B242,AUXILIAR!$O$2:$P$50,2,FALSE)="","CADASTRAR GERENTE",VLOOKUP(B242,AUXILIAR!$O$2:$P$50,2,FALSE)),"CADASTRAR GERENTE"))</f>
        <v/>
      </c>
      <c r="P242" s="3" t="str">
        <f t="shared" si="12"/>
        <v/>
      </c>
    </row>
    <row r="243" spans="1:16" x14ac:dyDescent="0.25">
      <c r="A243" s="4"/>
      <c r="J243" s="3" t="str">
        <f t="shared" si="10"/>
        <v/>
      </c>
      <c r="K243" s="3" t="str">
        <f t="shared" si="11"/>
        <v/>
      </c>
      <c r="O243" s="3" t="str">
        <f>IF(B243="","",IFERROR(IF(VLOOKUP(B243,AUXILIAR!$O$2:$P$50,2,FALSE)="","CADASTRAR GERENTE",VLOOKUP(B243,AUXILIAR!$O$2:$P$50,2,FALSE)),"CADASTRAR GERENTE"))</f>
        <v/>
      </c>
      <c r="P243" s="3" t="str">
        <f t="shared" si="12"/>
        <v/>
      </c>
    </row>
    <row r="244" spans="1:16" x14ac:dyDescent="0.25">
      <c r="A244" s="4"/>
      <c r="J244" s="3" t="str">
        <f t="shared" si="10"/>
        <v/>
      </c>
      <c r="K244" s="3" t="str">
        <f t="shared" si="11"/>
        <v/>
      </c>
      <c r="O244" s="3" t="str">
        <f>IF(B244="","",IFERROR(IF(VLOOKUP(B244,AUXILIAR!$O$2:$P$50,2,FALSE)="","CADASTRAR GERENTE",VLOOKUP(B244,AUXILIAR!$O$2:$P$50,2,FALSE)),"CADASTRAR GERENTE"))</f>
        <v/>
      </c>
      <c r="P244" s="3" t="str">
        <f t="shared" si="12"/>
        <v/>
      </c>
    </row>
    <row r="245" spans="1:16" x14ac:dyDescent="0.25">
      <c r="A245" s="4"/>
      <c r="J245" s="3" t="str">
        <f t="shared" si="10"/>
        <v/>
      </c>
      <c r="K245" s="3" t="str">
        <f t="shared" si="11"/>
        <v/>
      </c>
      <c r="O245" s="3" t="str">
        <f>IF(B245="","",IFERROR(IF(VLOOKUP(B245,AUXILIAR!$O$2:$P$50,2,FALSE)="","CADASTRAR GERENTE",VLOOKUP(B245,AUXILIAR!$O$2:$P$50,2,FALSE)),"CADASTRAR GERENTE"))</f>
        <v/>
      </c>
      <c r="P245" s="3" t="str">
        <f t="shared" si="12"/>
        <v/>
      </c>
    </row>
    <row r="246" spans="1:16" x14ac:dyDescent="0.25">
      <c r="A246" s="4"/>
      <c r="J246" s="3" t="str">
        <f t="shared" si="10"/>
        <v/>
      </c>
      <c r="K246" s="3" t="str">
        <f t="shared" si="11"/>
        <v/>
      </c>
      <c r="O246" s="3" t="str">
        <f>IF(B246="","",IFERROR(IF(VLOOKUP(B246,AUXILIAR!$O$2:$P$50,2,FALSE)="","CADASTRAR GERENTE",VLOOKUP(B246,AUXILIAR!$O$2:$P$50,2,FALSE)),"CADASTRAR GERENTE"))</f>
        <v/>
      </c>
      <c r="P246" s="3" t="str">
        <f t="shared" si="12"/>
        <v/>
      </c>
    </row>
    <row r="247" spans="1:16" x14ac:dyDescent="0.25">
      <c r="A247" s="4"/>
      <c r="J247" s="3" t="str">
        <f t="shared" si="10"/>
        <v/>
      </c>
      <c r="K247" s="3" t="str">
        <f t="shared" si="11"/>
        <v/>
      </c>
      <c r="O247" s="3" t="str">
        <f>IF(B247="","",IFERROR(IF(VLOOKUP(B247,AUXILIAR!$O$2:$P$50,2,FALSE)="","CADASTRAR GERENTE",VLOOKUP(B247,AUXILIAR!$O$2:$P$50,2,FALSE)),"CADASTRAR GERENTE"))</f>
        <v/>
      </c>
      <c r="P247" s="3" t="str">
        <f t="shared" si="12"/>
        <v/>
      </c>
    </row>
    <row r="248" spans="1:16" x14ac:dyDescent="0.25">
      <c r="A248" s="4"/>
      <c r="J248" s="3" t="str">
        <f t="shared" ref="J248:J311" si="13">IF(C248="","",IF(E248="Retorno Total"," ",IF(E248="Cancelado"," ",IF(AND(G248="SIM",H248="SIM"),"SIM","NÃO"))))</f>
        <v/>
      </c>
      <c r="K248" s="3" t="str">
        <f t="shared" ref="K248:K311" si="14">IF(C248="","",IF(AND(F248="SIM",I248="SIM",J248="SIM"),"OK","NOK"))</f>
        <v/>
      </c>
      <c r="O248" s="3" t="str">
        <f>IF(B248="","",IFERROR(IF(VLOOKUP(B248,AUXILIAR!$O$2:$P$50,2,FALSE)="","CADASTRAR GERENTE",VLOOKUP(B248,AUXILIAR!$O$2:$P$50,2,FALSE)),"CADASTRAR GERENTE"))</f>
        <v/>
      </c>
      <c r="P248" s="3" t="str">
        <f t="shared" si="12"/>
        <v/>
      </c>
    </row>
    <row r="249" spans="1:16" x14ac:dyDescent="0.25">
      <c r="A249" s="4"/>
      <c r="J249" s="3" t="str">
        <f t="shared" si="13"/>
        <v/>
      </c>
      <c r="K249" s="3" t="str">
        <f t="shared" si="14"/>
        <v/>
      </c>
      <c r="O249" s="3" t="str">
        <f>IF(B249="","",IFERROR(IF(VLOOKUP(B249,AUXILIAR!$O$2:$P$50,2,FALSE)="","CADASTRAR GERENTE",VLOOKUP(B249,AUXILIAR!$O$2:$P$50,2,FALSE)),"CADASTRAR GERENTE"))</f>
        <v/>
      </c>
      <c r="P249" s="3" t="str">
        <f t="shared" si="12"/>
        <v/>
      </c>
    </row>
    <row r="250" spans="1:16" x14ac:dyDescent="0.25">
      <c r="A250" s="4"/>
      <c r="J250" s="3" t="str">
        <f t="shared" si="13"/>
        <v/>
      </c>
      <c r="K250" s="3" t="str">
        <f t="shared" si="14"/>
        <v/>
      </c>
      <c r="O250" s="3" t="str">
        <f>IF(B250="","",IFERROR(IF(VLOOKUP(B250,AUXILIAR!$O$2:$P$50,2,FALSE)="","CADASTRAR GERENTE",VLOOKUP(B250,AUXILIAR!$O$2:$P$50,2,FALSE)),"CADASTRAR GERENTE"))</f>
        <v/>
      </c>
      <c r="P250" s="3" t="str">
        <f t="shared" si="12"/>
        <v/>
      </c>
    </row>
    <row r="251" spans="1:16" x14ac:dyDescent="0.25">
      <c r="A251" s="4"/>
      <c r="J251" s="3" t="str">
        <f t="shared" si="13"/>
        <v/>
      </c>
      <c r="K251" s="3" t="str">
        <f t="shared" si="14"/>
        <v/>
      </c>
      <c r="O251" s="3" t="str">
        <f>IF(B251="","",IFERROR(IF(VLOOKUP(B251,AUXILIAR!$O$2:$P$50,2,FALSE)="","CADASTRAR GERENTE",VLOOKUP(B251,AUXILIAR!$O$2:$P$50,2,FALSE)),"CADASTRAR GERENTE"))</f>
        <v/>
      </c>
      <c r="P251" s="3" t="str">
        <f t="shared" si="12"/>
        <v/>
      </c>
    </row>
    <row r="252" spans="1:16" x14ac:dyDescent="0.25">
      <c r="A252" s="4"/>
      <c r="J252" s="3" t="str">
        <f t="shared" si="13"/>
        <v/>
      </c>
      <c r="K252" s="3" t="str">
        <f t="shared" si="14"/>
        <v/>
      </c>
      <c r="O252" s="3" t="str">
        <f>IF(B252="","",IFERROR(IF(VLOOKUP(B252,AUXILIAR!$O$2:$P$50,2,FALSE)="","CADASTRAR GERENTE",VLOOKUP(B252,AUXILIAR!$O$2:$P$50,2,FALSE)),"CADASTRAR GERENTE"))</f>
        <v/>
      </c>
      <c r="P252" s="3" t="str">
        <f t="shared" si="12"/>
        <v/>
      </c>
    </row>
    <row r="253" spans="1:16" x14ac:dyDescent="0.25">
      <c r="A253" s="4"/>
      <c r="J253" s="3" t="str">
        <f t="shared" si="13"/>
        <v/>
      </c>
      <c r="K253" s="3" t="str">
        <f t="shared" si="14"/>
        <v/>
      </c>
      <c r="O253" s="3" t="str">
        <f>IF(B253="","",IFERROR(IF(VLOOKUP(B253,AUXILIAR!$O$2:$P$50,2,FALSE)="","CADASTRAR GERENTE",VLOOKUP(B253,AUXILIAR!$O$2:$P$50,2,FALSE)),"CADASTRAR GERENTE"))</f>
        <v/>
      </c>
      <c r="P253" s="3" t="str">
        <f t="shared" si="12"/>
        <v/>
      </c>
    </row>
    <row r="254" spans="1:16" x14ac:dyDescent="0.25">
      <c r="A254" s="4"/>
      <c r="J254" s="3" t="str">
        <f t="shared" si="13"/>
        <v/>
      </c>
      <c r="K254" s="3" t="str">
        <f t="shared" si="14"/>
        <v/>
      </c>
      <c r="O254" s="3" t="str">
        <f>IF(B254="","",IFERROR(IF(VLOOKUP(B254,AUXILIAR!$O$2:$P$50,2,FALSE)="","CADASTRAR GERENTE",VLOOKUP(B254,AUXILIAR!$O$2:$P$50,2,FALSE)),"CADASTRAR GERENTE"))</f>
        <v/>
      </c>
      <c r="P254" s="3" t="str">
        <f t="shared" si="12"/>
        <v/>
      </c>
    </row>
    <row r="255" spans="1:16" x14ac:dyDescent="0.25">
      <c r="A255" s="4"/>
      <c r="J255" s="3" t="str">
        <f t="shared" si="13"/>
        <v/>
      </c>
      <c r="K255" s="3" t="str">
        <f t="shared" si="14"/>
        <v/>
      </c>
      <c r="O255" s="3" t="str">
        <f>IF(B255="","",IFERROR(IF(VLOOKUP(B255,AUXILIAR!$O$2:$P$50,2,FALSE)="","CADASTRAR GERENTE",VLOOKUP(B255,AUXILIAR!$O$2:$P$50,2,FALSE)),"CADASTRAR GERENTE"))</f>
        <v/>
      </c>
      <c r="P255" s="3" t="str">
        <f t="shared" si="12"/>
        <v/>
      </c>
    </row>
    <row r="256" spans="1:16" x14ac:dyDescent="0.25">
      <c r="A256" s="4"/>
      <c r="J256" s="3" t="str">
        <f t="shared" si="13"/>
        <v/>
      </c>
      <c r="K256" s="3" t="str">
        <f t="shared" si="14"/>
        <v/>
      </c>
      <c r="O256" s="3" t="str">
        <f>IF(B256="","",IFERROR(IF(VLOOKUP(B256,AUXILIAR!$O$2:$P$50,2,FALSE)="","CADASTRAR GERENTE",VLOOKUP(B256,AUXILIAR!$O$2:$P$50,2,FALSE)),"CADASTRAR GERENTE"))</f>
        <v/>
      </c>
      <c r="P256" s="3" t="str">
        <f t="shared" si="12"/>
        <v/>
      </c>
    </row>
    <row r="257" spans="1:16" x14ac:dyDescent="0.25">
      <c r="A257" s="4"/>
      <c r="J257" s="3" t="str">
        <f t="shared" si="13"/>
        <v/>
      </c>
      <c r="K257" s="3" t="str">
        <f t="shared" si="14"/>
        <v/>
      </c>
      <c r="O257" s="3" t="str">
        <f>IF(B257="","",IFERROR(IF(VLOOKUP(B257,AUXILIAR!$O$2:$P$50,2,FALSE)="","CADASTRAR GERENTE",VLOOKUP(B257,AUXILIAR!$O$2:$P$50,2,FALSE)),"CADASTRAR GERENTE"))</f>
        <v/>
      </c>
      <c r="P257" s="3" t="str">
        <f t="shared" si="12"/>
        <v/>
      </c>
    </row>
    <row r="258" spans="1:16" x14ac:dyDescent="0.25">
      <c r="A258" s="4"/>
      <c r="J258" s="3" t="str">
        <f t="shared" si="13"/>
        <v/>
      </c>
      <c r="K258" s="3" t="str">
        <f t="shared" si="14"/>
        <v/>
      </c>
      <c r="O258" s="3" t="str">
        <f>IF(B258="","",IFERROR(IF(VLOOKUP(B258,AUXILIAR!$O$2:$P$50,2,FALSE)="","CADASTRAR GERENTE",VLOOKUP(B258,AUXILIAR!$O$2:$P$50,2,FALSE)),"CADASTRAR GERENTE"))</f>
        <v/>
      </c>
      <c r="P258" s="3" t="str">
        <f t="shared" si="12"/>
        <v/>
      </c>
    </row>
    <row r="259" spans="1:16" x14ac:dyDescent="0.25">
      <c r="A259" s="4"/>
      <c r="J259" s="3" t="str">
        <f t="shared" si="13"/>
        <v/>
      </c>
      <c r="K259" s="3" t="str">
        <f t="shared" si="14"/>
        <v/>
      </c>
      <c r="O259" s="3" t="str">
        <f>IF(B259="","",IFERROR(IF(VLOOKUP(B259,AUXILIAR!$O$2:$P$50,2,FALSE)="","CADASTRAR GERENTE",VLOOKUP(B259,AUXILIAR!$O$2:$P$50,2,FALSE)),"CADASTRAR GERENTE"))</f>
        <v/>
      </c>
      <c r="P259" s="3" t="str">
        <f t="shared" si="12"/>
        <v/>
      </c>
    </row>
    <row r="260" spans="1:16" x14ac:dyDescent="0.25">
      <c r="A260" s="4"/>
      <c r="J260" s="3" t="str">
        <f t="shared" si="13"/>
        <v/>
      </c>
      <c r="K260" s="3" t="str">
        <f t="shared" si="14"/>
        <v/>
      </c>
      <c r="O260" s="3" t="str">
        <f>IF(B260="","",IFERROR(IF(VLOOKUP(B260,AUXILIAR!$O$2:$P$50,2,FALSE)="","CADASTRAR GERENTE",VLOOKUP(B260,AUXILIAR!$O$2:$P$50,2,FALSE)),"CADASTRAR GERENTE"))</f>
        <v/>
      </c>
      <c r="P260" s="3" t="str">
        <f t="shared" ref="P260:P323" si="15">IF(C260="","",TEXT(A289,"yyyymmdd")&amp;"-"&amp;B260&amp;"-"&amp;C260)</f>
        <v/>
      </c>
    </row>
    <row r="261" spans="1:16" x14ac:dyDescent="0.25">
      <c r="A261" s="4"/>
      <c r="J261" s="3" t="str">
        <f t="shared" si="13"/>
        <v/>
      </c>
      <c r="K261" s="3" t="str">
        <f t="shared" si="14"/>
        <v/>
      </c>
      <c r="O261" s="3" t="str">
        <f>IF(B261="","",IFERROR(IF(VLOOKUP(B261,AUXILIAR!$O$2:$P$50,2,FALSE)="","CADASTRAR GERENTE",VLOOKUP(B261,AUXILIAR!$O$2:$P$50,2,FALSE)),"CADASTRAR GERENTE"))</f>
        <v/>
      </c>
      <c r="P261" s="3" t="str">
        <f t="shared" si="15"/>
        <v/>
      </c>
    </row>
    <row r="262" spans="1:16" x14ac:dyDescent="0.25">
      <c r="A262" s="4"/>
      <c r="J262" s="3" t="str">
        <f t="shared" si="13"/>
        <v/>
      </c>
      <c r="K262" s="3" t="str">
        <f t="shared" si="14"/>
        <v/>
      </c>
      <c r="O262" s="3" t="str">
        <f>IF(B262="","",IFERROR(IF(VLOOKUP(B262,AUXILIAR!$O$2:$P$50,2,FALSE)="","CADASTRAR GERENTE",VLOOKUP(B262,AUXILIAR!$O$2:$P$50,2,FALSE)),"CADASTRAR GERENTE"))</f>
        <v/>
      </c>
      <c r="P262" s="3" t="str">
        <f t="shared" si="15"/>
        <v/>
      </c>
    </row>
    <row r="263" spans="1:16" x14ac:dyDescent="0.25">
      <c r="A263" s="4"/>
      <c r="J263" s="3" t="str">
        <f t="shared" si="13"/>
        <v/>
      </c>
      <c r="K263" s="3" t="str">
        <f t="shared" si="14"/>
        <v/>
      </c>
      <c r="O263" s="3" t="str">
        <f>IF(B263="","",IFERROR(IF(VLOOKUP(B263,AUXILIAR!$O$2:$P$50,2,FALSE)="","CADASTRAR GERENTE",VLOOKUP(B263,AUXILIAR!$O$2:$P$50,2,FALSE)),"CADASTRAR GERENTE"))</f>
        <v/>
      </c>
      <c r="P263" s="3" t="str">
        <f t="shared" si="15"/>
        <v/>
      </c>
    </row>
    <row r="264" spans="1:16" x14ac:dyDescent="0.25">
      <c r="A264" s="4"/>
      <c r="J264" s="3" t="str">
        <f t="shared" si="13"/>
        <v/>
      </c>
      <c r="K264" s="3" t="str">
        <f t="shared" si="14"/>
        <v/>
      </c>
      <c r="O264" s="3" t="str">
        <f>IF(B264="","",IFERROR(IF(VLOOKUP(B264,AUXILIAR!$O$2:$P$50,2,FALSE)="","CADASTRAR GERENTE",VLOOKUP(B264,AUXILIAR!$O$2:$P$50,2,FALSE)),"CADASTRAR GERENTE"))</f>
        <v/>
      </c>
      <c r="P264" s="3" t="str">
        <f t="shared" si="15"/>
        <v/>
      </c>
    </row>
    <row r="265" spans="1:16" x14ac:dyDescent="0.25">
      <c r="A265" s="4"/>
      <c r="J265" s="3" t="str">
        <f t="shared" si="13"/>
        <v/>
      </c>
      <c r="K265" s="3" t="str">
        <f t="shared" si="14"/>
        <v/>
      </c>
      <c r="O265" s="3" t="str">
        <f>IF(B265="","",IFERROR(IF(VLOOKUP(B265,AUXILIAR!$O$2:$P$50,2,FALSE)="","CADASTRAR GERENTE",VLOOKUP(B265,AUXILIAR!$O$2:$P$50,2,FALSE)),"CADASTRAR GERENTE"))</f>
        <v/>
      </c>
      <c r="P265" s="3" t="str">
        <f t="shared" si="15"/>
        <v/>
      </c>
    </row>
    <row r="266" spans="1:16" x14ac:dyDescent="0.25">
      <c r="A266" s="4"/>
      <c r="J266" s="3" t="str">
        <f t="shared" si="13"/>
        <v/>
      </c>
      <c r="K266" s="3" t="str">
        <f t="shared" si="14"/>
        <v/>
      </c>
      <c r="O266" s="3" t="str">
        <f>IF(B266="","",IFERROR(IF(VLOOKUP(B266,AUXILIAR!$O$2:$P$50,2,FALSE)="","CADASTRAR GERENTE",VLOOKUP(B266,AUXILIAR!$O$2:$P$50,2,FALSE)),"CADASTRAR GERENTE"))</f>
        <v/>
      </c>
      <c r="P266" s="3" t="str">
        <f t="shared" si="15"/>
        <v/>
      </c>
    </row>
    <row r="267" spans="1:16" x14ac:dyDescent="0.25">
      <c r="A267" s="4"/>
      <c r="J267" s="3" t="str">
        <f t="shared" si="13"/>
        <v/>
      </c>
      <c r="K267" s="3" t="str">
        <f t="shared" si="14"/>
        <v/>
      </c>
      <c r="O267" s="3" t="str">
        <f>IF(B267="","",IFERROR(IF(VLOOKUP(B267,AUXILIAR!$O$2:$P$50,2,FALSE)="","CADASTRAR GERENTE",VLOOKUP(B267,AUXILIAR!$O$2:$P$50,2,FALSE)),"CADASTRAR GERENTE"))</f>
        <v/>
      </c>
      <c r="P267" s="3" t="str">
        <f t="shared" si="15"/>
        <v/>
      </c>
    </row>
    <row r="268" spans="1:16" x14ac:dyDescent="0.25">
      <c r="A268" s="4"/>
      <c r="J268" s="3" t="str">
        <f t="shared" si="13"/>
        <v/>
      </c>
      <c r="K268" s="3" t="str">
        <f t="shared" si="14"/>
        <v/>
      </c>
      <c r="O268" s="3" t="str">
        <f>IF(B268="","",IFERROR(IF(VLOOKUP(B268,AUXILIAR!$O$2:$P$50,2,FALSE)="","CADASTRAR GERENTE",VLOOKUP(B268,AUXILIAR!$O$2:$P$50,2,FALSE)),"CADASTRAR GERENTE"))</f>
        <v/>
      </c>
      <c r="P268" s="3" t="str">
        <f t="shared" si="15"/>
        <v/>
      </c>
    </row>
    <row r="269" spans="1:16" x14ac:dyDescent="0.25">
      <c r="A269" s="4"/>
      <c r="J269" s="3" t="str">
        <f t="shared" si="13"/>
        <v/>
      </c>
      <c r="K269" s="3" t="str">
        <f t="shared" si="14"/>
        <v/>
      </c>
      <c r="O269" s="3" t="str">
        <f>IF(B269="","",IFERROR(IF(VLOOKUP(B269,AUXILIAR!$O$2:$P$50,2,FALSE)="","CADASTRAR GERENTE",VLOOKUP(B269,AUXILIAR!$O$2:$P$50,2,FALSE)),"CADASTRAR GERENTE"))</f>
        <v/>
      </c>
      <c r="P269" s="3" t="str">
        <f t="shared" si="15"/>
        <v/>
      </c>
    </row>
    <row r="270" spans="1:16" x14ac:dyDescent="0.25">
      <c r="A270" s="4"/>
      <c r="J270" s="3" t="str">
        <f t="shared" si="13"/>
        <v/>
      </c>
      <c r="K270" s="3" t="str">
        <f t="shared" si="14"/>
        <v/>
      </c>
      <c r="O270" s="3" t="str">
        <f>IF(B270="","",IFERROR(IF(VLOOKUP(B270,AUXILIAR!$O$2:$P$50,2,FALSE)="","CADASTRAR GERENTE",VLOOKUP(B270,AUXILIAR!$O$2:$P$50,2,FALSE)),"CADASTRAR GERENTE"))</f>
        <v/>
      </c>
      <c r="P270" s="3" t="str">
        <f t="shared" si="15"/>
        <v/>
      </c>
    </row>
    <row r="271" spans="1:16" x14ac:dyDescent="0.25">
      <c r="A271" s="4"/>
      <c r="J271" s="3" t="str">
        <f t="shared" si="13"/>
        <v/>
      </c>
      <c r="K271" s="3" t="str">
        <f t="shared" si="14"/>
        <v/>
      </c>
      <c r="O271" s="3" t="str">
        <f>IF(B271="","",IFERROR(IF(VLOOKUP(B271,AUXILIAR!$O$2:$P$50,2,FALSE)="","CADASTRAR GERENTE",VLOOKUP(B271,AUXILIAR!$O$2:$P$50,2,FALSE)),"CADASTRAR GERENTE"))</f>
        <v/>
      </c>
      <c r="P271" s="3" t="str">
        <f t="shared" si="15"/>
        <v/>
      </c>
    </row>
    <row r="272" spans="1:16" x14ac:dyDescent="0.25">
      <c r="A272" s="4"/>
      <c r="J272" s="3" t="str">
        <f t="shared" si="13"/>
        <v/>
      </c>
      <c r="K272" s="3" t="str">
        <f t="shared" si="14"/>
        <v/>
      </c>
      <c r="O272" s="3" t="str">
        <f>IF(B272="","",IFERROR(IF(VLOOKUP(B272,AUXILIAR!$O$2:$P$50,2,FALSE)="","CADASTRAR GERENTE",VLOOKUP(B272,AUXILIAR!$O$2:$P$50,2,FALSE)),"CADASTRAR GERENTE"))</f>
        <v/>
      </c>
      <c r="P272" s="3" t="str">
        <f t="shared" si="15"/>
        <v/>
      </c>
    </row>
    <row r="273" spans="1:16" x14ac:dyDescent="0.25">
      <c r="A273" s="4"/>
      <c r="J273" s="3" t="str">
        <f t="shared" si="13"/>
        <v/>
      </c>
      <c r="K273" s="3" t="str">
        <f t="shared" si="14"/>
        <v/>
      </c>
      <c r="O273" s="3" t="str">
        <f>IF(B273="","",IFERROR(IF(VLOOKUP(B273,AUXILIAR!$O$2:$P$50,2,FALSE)="","CADASTRAR GERENTE",VLOOKUP(B273,AUXILIAR!$O$2:$P$50,2,FALSE)),"CADASTRAR GERENTE"))</f>
        <v/>
      </c>
      <c r="P273" s="3" t="str">
        <f t="shared" si="15"/>
        <v/>
      </c>
    </row>
    <row r="274" spans="1:16" x14ac:dyDescent="0.25">
      <c r="A274" s="4"/>
      <c r="J274" s="3" t="str">
        <f t="shared" si="13"/>
        <v/>
      </c>
      <c r="K274" s="3" t="str">
        <f t="shared" si="14"/>
        <v/>
      </c>
      <c r="O274" s="3" t="str">
        <f>IF(B274="","",IFERROR(IF(VLOOKUP(B274,AUXILIAR!$O$2:$P$50,2,FALSE)="","CADASTRAR GERENTE",VLOOKUP(B274,AUXILIAR!$O$2:$P$50,2,FALSE)),"CADASTRAR GERENTE"))</f>
        <v/>
      </c>
      <c r="P274" s="3" t="str">
        <f t="shared" si="15"/>
        <v/>
      </c>
    </row>
    <row r="275" spans="1:16" x14ac:dyDescent="0.25">
      <c r="A275" s="4"/>
      <c r="J275" s="3" t="str">
        <f t="shared" si="13"/>
        <v/>
      </c>
      <c r="K275" s="3" t="str">
        <f t="shared" si="14"/>
        <v/>
      </c>
      <c r="O275" s="3" t="str">
        <f>IF(B275="","",IFERROR(IF(VLOOKUP(B275,AUXILIAR!$O$2:$P$50,2,FALSE)="","CADASTRAR GERENTE",VLOOKUP(B275,AUXILIAR!$O$2:$P$50,2,FALSE)),"CADASTRAR GERENTE"))</f>
        <v/>
      </c>
      <c r="P275" s="3" t="str">
        <f t="shared" si="15"/>
        <v/>
      </c>
    </row>
    <row r="276" spans="1:16" x14ac:dyDescent="0.25">
      <c r="A276" s="4"/>
      <c r="J276" s="3" t="str">
        <f t="shared" si="13"/>
        <v/>
      </c>
      <c r="K276" s="3" t="str">
        <f t="shared" si="14"/>
        <v/>
      </c>
      <c r="O276" s="3" t="str">
        <f>IF(B276="","",IFERROR(IF(VLOOKUP(B276,AUXILIAR!$O$2:$P$50,2,FALSE)="","CADASTRAR GERENTE",VLOOKUP(B276,AUXILIAR!$O$2:$P$50,2,FALSE)),"CADASTRAR GERENTE"))</f>
        <v/>
      </c>
      <c r="P276" s="3" t="str">
        <f t="shared" si="15"/>
        <v/>
      </c>
    </row>
    <row r="277" spans="1:16" x14ac:dyDescent="0.25">
      <c r="A277" s="4"/>
      <c r="J277" s="3" t="str">
        <f t="shared" si="13"/>
        <v/>
      </c>
      <c r="K277" s="3" t="str">
        <f t="shared" si="14"/>
        <v/>
      </c>
      <c r="O277" s="3" t="str">
        <f>IF(B277="","",IFERROR(IF(VLOOKUP(B277,AUXILIAR!$O$2:$P$50,2,FALSE)="","CADASTRAR GERENTE",VLOOKUP(B277,AUXILIAR!$O$2:$P$50,2,FALSE)),"CADASTRAR GERENTE"))</f>
        <v/>
      </c>
      <c r="P277" s="3" t="str">
        <f t="shared" si="15"/>
        <v/>
      </c>
    </row>
    <row r="278" spans="1:16" x14ac:dyDescent="0.25">
      <c r="A278" s="4"/>
      <c r="J278" s="3" t="str">
        <f t="shared" si="13"/>
        <v/>
      </c>
      <c r="K278" s="3" t="str">
        <f t="shared" si="14"/>
        <v/>
      </c>
      <c r="O278" s="3" t="str">
        <f>IF(B278="","",IFERROR(IF(VLOOKUP(B278,AUXILIAR!$O$2:$P$50,2,FALSE)="","CADASTRAR GERENTE",VLOOKUP(B278,AUXILIAR!$O$2:$P$50,2,FALSE)),"CADASTRAR GERENTE"))</f>
        <v/>
      </c>
      <c r="P278" s="3" t="str">
        <f t="shared" si="15"/>
        <v/>
      </c>
    </row>
    <row r="279" spans="1:16" x14ac:dyDescent="0.25">
      <c r="A279" s="4"/>
      <c r="J279" s="3" t="str">
        <f t="shared" si="13"/>
        <v/>
      </c>
      <c r="K279" s="3" t="str">
        <f t="shared" si="14"/>
        <v/>
      </c>
      <c r="O279" s="3" t="str">
        <f>IF(B279="","",IFERROR(IF(VLOOKUP(B279,AUXILIAR!$O$2:$P$50,2,FALSE)="","CADASTRAR GERENTE",VLOOKUP(B279,AUXILIAR!$O$2:$P$50,2,FALSE)),"CADASTRAR GERENTE"))</f>
        <v/>
      </c>
      <c r="P279" s="3" t="str">
        <f t="shared" si="15"/>
        <v/>
      </c>
    </row>
    <row r="280" spans="1:16" x14ac:dyDescent="0.25">
      <c r="A280" s="4"/>
      <c r="J280" s="3" t="str">
        <f t="shared" si="13"/>
        <v/>
      </c>
      <c r="K280" s="3" t="str">
        <f t="shared" si="14"/>
        <v/>
      </c>
      <c r="O280" s="3" t="str">
        <f>IF(B280="","",IFERROR(IF(VLOOKUP(B280,AUXILIAR!$O$2:$P$50,2,FALSE)="","CADASTRAR GERENTE",VLOOKUP(B280,AUXILIAR!$O$2:$P$50,2,FALSE)),"CADASTRAR GERENTE"))</f>
        <v/>
      </c>
      <c r="P280" s="3" t="str">
        <f t="shared" si="15"/>
        <v/>
      </c>
    </row>
    <row r="281" spans="1:16" x14ac:dyDescent="0.25">
      <c r="A281" s="4"/>
      <c r="J281" s="3" t="str">
        <f t="shared" si="13"/>
        <v/>
      </c>
      <c r="K281" s="3" t="str">
        <f t="shared" si="14"/>
        <v/>
      </c>
      <c r="O281" s="3" t="str">
        <f>IF(B281="","",IFERROR(IF(VLOOKUP(B281,AUXILIAR!$O$2:$P$50,2,FALSE)="","CADASTRAR GERENTE",VLOOKUP(B281,AUXILIAR!$O$2:$P$50,2,FALSE)),"CADASTRAR GERENTE"))</f>
        <v/>
      </c>
      <c r="P281" s="3" t="str">
        <f t="shared" si="15"/>
        <v/>
      </c>
    </row>
    <row r="282" spans="1:16" x14ac:dyDescent="0.25">
      <c r="A282" s="4"/>
      <c r="J282" s="3" t="str">
        <f t="shared" si="13"/>
        <v/>
      </c>
      <c r="K282" s="3" t="str">
        <f t="shared" si="14"/>
        <v/>
      </c>
      <c r="O282" s="3" t="str">
        <f>IF(B282="","",IFERROR(IF(VLOOKUP(B282,AUXILIAR!$O$2:$P$50,2,FALSE)="","CADASTRAR GERENTE",VLOOKUP(B282,AUXILIAR!$O$2:$P$50,2,FALSE)),"CADASTRAR GERENTE"))</f>
        <v/>
      </c>
      <c r="P282" s="3" t="str">
        <f t="shared" si="15"/>
        <v/>
      </c>
    </row>
    <row r="283" spans="1:16" x14ac:dyDescent="0.25">
      <c r="A283" s="4"/>
      <c r="J283" s="3" t="str">
        <f t="shared" si="13"/>
        <v/>
      </c>
      <c r="K283" s="3" t="str">
        <f t="shared" si="14"/>
        <v/>
      </c>
      <c r="O283" s="3" t="str">
        <f>IF(B283="","",IFERROR(IF(VLOOKUP(B283,AUXILIAR!$O$2:$P$50,2,FALSE)="","CADASTRAR GERENTE",VLOOKUP(B283,AUXILIAR!$O$2:$P$50,2,FALSE)),"CADASTRAR GERENTE"))</f>
        <v/>
      </c>
      <c r="P283" s="3" t="str">
        <f t="shared" si="15"/>
        <v/>
      </c>
    </row>
    <row r="284" spans="1:16" x14ac:dyDescent="0.25">
      <c r="A284" s="4"/>
      <c r="J284" s="3" t="str">
        <f t="shared" si="13"/>
        <v/>
      </c>
      <c r="K284" s="3" t="str">
        <f t="shared" si="14"/>
        <v/>
      </c>
      <c r="O284" s="3" t="str">
        <f>IF(B284="","",IFERROR(IF(VLOOKUP(B284,AUXILIAR!$O$2:$P$50,2,FALSE)="","CADASTRAR GERENTE",VLOOKUP(B284,AUXILIAR!$O$2:$P$50,2,FALSE)),"CADASTRAR GERENTE"))</f>
        <v/>
      </c>
      <c r="P284" s="3" t="str">
        <f t="shared" si="15"/>
        <v/>
      </c>
    </row>
    <row r="285" spans="1:16" x14ac:dyDescent="0.25">
      <c r="A285" s="4"/>
      <c r="J285" s="3" t="str">
        <f t="shared" si="13"/>
        <v/>
      </c>
      <c r="K285" s="3" t="str">
        <f t="shared" si="14"/>
        <v/>
      </c>
      <c r="O285" s="3" t="str">
        <f>IF(B285="","",IFERROR(IF(VLOOKUP(B285,AUXILIAR!$O$2:$P$50,2,FALSE)="","CADASTRAR GERENTE",VLOOKUP(B285,AUXILIAR!$O$2:$P$50,2,FALSE)),"CADASTRAR GERENTE"))</f>
        <v/>
      </c>
      <c r="P285" s="3" t="str">
        <f t="shared" si="15"/>
        <v/>
      </c>
    </row>
    <row r="286" spans="1:16" x14ac:dyDescent="0.25">
      <c r="A286" s="4"/>
      <c r="J286" s="3" t="str">
        <f t="shared" si="13"/>
        <v/>
      </c>
      <c r="K286" s="3" t="str">
        <f t="shared" si="14"/>
        <v/>
      </c>
      <c r="O286" s="3" t="str">
        <f>IF(B286="","",IFERROR(IF(VLOOKUP(B286,AUXILIAR!$O$2:$P$50,2,FALSE)="","CADASTRAR GERENTE",VLOOKUP(B286,AUXILIAR!$O$2:$P$50,2,FALSE)),"CADASTRAR GERENTE"))</f>
        <v/>
      </c>
      <c r="P286" s="3" t="str">
        <f t="shared" si="15"/>
        <v/>
      </c>
    </row>
    <row r="287" spans="1:16" x14ac:dyDescent="0.25">
      <c r="A287" s="4"/>
      <c r="J287" s="3" t="str">
        <f t="shared" si="13"/>
        <v/>
      </c>
      <c r="K287" s="3" t="str">
        <f t="shared" si="14"/>
        <v/>
      </c>
      <c r="O287" s="3" t="str">
        <f>IF(B287="","",IFERROR(IF(VLOOKUP(B287,AUXILIAR!$O$2:$P$50,2,FALSE)="","CADASTRAR GERENTE",VLOOKUP(B287,AUXILIAR!$O$2:$P$50,2,FALSE)),"CADASTRAR GERENTE"))</f>
        <v/>
      </c>
      <c r="P287" s="3" t="str">
        <f t="shared" si="15"/>
        <v/>
      </c>
    </row>
    <row r="288" spans="1:16" x14ac:dyDescent="0.25">
      <c r="A288" s="4"/>
      <c r="J288" s="3" t="str">
        <f t="shared" si="13"/>
        <v/>
      </c>
      <c r="K288" s="3" t="str">
        <f t="shared" si="14"/>
        <v/>
      </c>
      <c r="O288" s="3" t="str">
        <f>IF(B288="","",IFERROR(IF(VLOOKUP(B288,AUXILIAR!$O$2:$P$50,2,FALSE)="","CADASTRAR GERENTE",VLOOKUP(B288,AUXILIAR!$O$2:$P$50,2,FALSE)),"CADASTRAR GERENTE"))</f>
        <v/>
      </c>
      <c r="P288" s="3" t="str">
        <f t="shared" si="15"/>
        <v/>
      </c>
    </row>
    <row r="289" spans="1:16" x14ac:dyDescent="0.25">
      <c r="A289" s="4"/>
      <c r="J289" s="3" t="str">
        <f t="shared" si="13"/>
        <v/>
      </c>
      <c r="K289" s="3" t="str">
        <f t="shared" si="14"/>
        <v/>
      </c>
      <c r="O289" s="3" t="str">
        <f>IF(B289="","",IFERROR(IF(VLOOKUP(B289,AUXILIAR!$O$2:$P$50,2,FALSE)="","CADASTRAR GERENTE",VLOOKUP(B289,AUXILIAR!$O$2:$P$50,2,FALSE)),"CADASTRAR GERENTE"))</f>
        <v/>
      </c>
      <c r="P289" s="3" t="str">
        <f t="shared" si="15"/>
        <v/>
      </c>
    </row>
    <row r="290" spans="1:16" x14ac:dyDescent="0.25">
      <c r="A290" s="4"/>
      <c r="J290" s="3" t="str">
        <f t="shared" si="13"/>
        <v/>
      </c>
      <c r="K290" s="3" t="str">
        <f t="shared" si="14"/>
        <v/>
      </c>
      <c r="O290" s="3" t="str">
        <f>IF(B290="","",IFERROR(IF(VLOOKUP(B290,AUXILIAR!$O$2:$P$50,2,FALSE)="","CADASTRAR GERENTE",VLOOKUP(B290,AUXILIAR!$O$2:$P$50,2,FALSE)),"CADASTRAR GERENTE"))</f>
        <v/>
      </c>
      <c r="P290" s="3" t="str">
        <f t="shared" si="15"/>
        <v/>
      </c>
    </row>
    <row r="291" spans="1:16" x14ac:dyDescent="0.25">
      <c r="A291" s="4"/>
      <c r="J291" s="3" t="str">
        <f t="shared" si="13"/>
        <v/>
      </c>
      <c r="K291" s="3" t="str">
        <f t="shared" si="14"/>
        <v/>
      </c>
      <c r="O291" s="3" t="str">
        <f>IF(B291="","",IFERROR(IF(VLOOKUP(B291,AUXILIAR!$O$2:$P$50,2,FALSE)="","CADASTRAR GERENTE",VLOOKUP(B291,AUXILIAR!$O$2:$P$50,2,FALSE)),"CADASTRAR GERENTE"))</f>
        <v/>
      </c>
      <c r="P291" s="3" t="str">
        <f t="shared" si="15"/>
        <v/>
      </c>
    </row>
    <row r="292" spans="1:16" x14ac:dyDescent="0.25">
      <c r="A292" s="4"/>
      <c r="J292" s="3" t="str">
        <f t="shared" si="13"/>
        <v/>
      </c>
      <c r="K292" s="3" t="str">
        <f t="shared" si="14"/>
        <v/>
      </c>
      <c r="O292" s="3" t="str">
        <f>IF(B292="","",IFERROR(IF(VLOOKUP(B292,AUXILIAR!$O$2:$P$50,2,FALSE)="","CADASTRAR GERENTE",VLOOKUP(B292,AUXILIAR!$O$2:$P$50,2,FALSE)),"CADASTRAR GERENTE"))</f>
        <v/>
      </c>
      <c r="P292" s="3" t="str">
        <f t="shared" si="15"/>
        <v/>
      </c>
    </row>
    <row r="293" spans="1:16" x14ac:dyDescent="0.25">
      <c r="A293" s="4"/>
      <c r="J293" s="3" t="str">
        <f t="shared" si="13"/>
        <v/>
      </c>
      <c r="K293" s="3" t="str">
        <f t="shared" si="14"/>
        <v/>
      </c>
      <c r="O293" s="3" t="str">
        <f>IF(B293="","",IFERROR(IF(VLOOKUP(B293,AUXILIAR!$O$2:$P$50,2,FALSE)="","CADASTRAR GERENTE",VLOOKUP(B293,AUXILIAR!$O$2:$P$50,2,FALSE)),"CADASTRAR GERENTE"))</f>
        <v/>
      </c>
      <c r="P293" s="3" t="str">
        <f t="shared" si="15"/>
        <v/>
      </c>
    </row>
    <row r="294" spans="1:16" x14ac:dyDescent="0.25">
      <c r="A294" s="4"/>
      <c r="J294" s="3" t="str">
        <f t="shared" si="13"/>
        <v/>
      </c>
      <c r="K294" s="3" t="str">
        <f t="shared" si="14"/>
        <v/>
      </c>
      <c r="O294" s="3" t="str">
        <f>IF(B294="","",IFERROR(IF(VLOOKUP(B294,AUXILIAR!$O$2:$P$50,2,FALSE)="","CADASTRAR GERENTE",VLOOKUP(B294,AUXILIAR!$O$2:$P$50,2,FALSE)),"CADASTRAR GERENTE"))</f>
        <v/>
      </c>
      <c r="P294" s="3" t="str">
        <f t="shared" si="15"/>
        <v/>
      </c>
    </row>
    <row r="295" spans="1:16" x14ac:dyDescent="0.25">
      <c r="A295" s="4"/>
      <c r="J295" s="3" t="str">
        <f t="shared" si="13"/>
        <v/>
      </c>
      <c r="K295" s="3" t="str">
        <f t="shared" si="14"/>
        <v/>
      </c>
      <c r="O295" s="3" t="str">
        <f>IF(B295="","",IFERROR(IF(VLOOKUP(B295,AUXILIAR!$O$2:$P$50,2,FALSE)="","CADASTRAR GERENTE",VLOOKUP(B295,AUXILIAR!$O$2:$P$50,2,FALSE)),"CADASTRAR GERENTE"))</f>
        <v/>
      </c>
      <c r="P295" s="3" t="str">
        <f t="shared" si="15"/>
        <v/>
      </c>
    </row>
    <row r="296" spans="1:16" x14ac:dyDescent="0.25">
      <c r="A296" s="4"/>
      <c r="J296" s="3" t="str">
        <f t="shared" si="13"/>
        <v/>
      </c>
      <c r="K296" s="3" t="str">
        <f t="shared" si="14"/>
        <v/>
      </c>
      <c r="O296" s="3" t="str">
        <f>IF(B296="","",IFERROR(IF(VLOOKUP(B296,AUXILIAR!$O$2:$P$50,2,FALSE)="","CADASTRAR GERENTE",VLOOKUP(B296,AUXILIAR!$O$2:$P$50,2,FALSE)),"CADASTRAR GERENTE"))</f>
        <v/>
      </c>
      <c r="P296" s="3" t="str">
        <f t="shared" si="15"/>
        <v/>
      </c>
    </row>
    <row r="297" spans="1:16" x14ac:dyDescent="0.25">
      <c r="A297" s="4"/>
      <c r="J297" s="3" t="str">
        <f t="shared" si="13"/>
        <v/>
      </c>
      <c r="K297" s="3" t="str">
        <f t="shared" si="14"/>
        <v/>
      </c>
      <c r="O297" s="3" t="str">
        <f>IF(B297="","",IFERROR(IF(VLOOKUP(B297,AUXILIAR!$O$2:$P$50,2,FALSE)="","CADASTRAR GERENTE",VLOOKUP(B297,AUXILIAR!$O$2:$P$50,2,FALSE)),"CADASTRAR GERENTE"))</f>
        <v/>
      </c>
      <c r="P297" s="3" t="str">
        <f t="shared" si="15"/>
        <v/>
      </c>
    </row>
    <row r="298" spans="1:16" x14ac:dyDescent="0.25">
      <c r="A298" s="4"/>
      <c r="J298" s="3" t="str">
        <f t="shared" si="13"/>
        <v/>
      </c>
      <c r="K298" s="3" t="str">
        <f t="shared" si="14"/>
        <v/>
      </c>
      <c r="O298" s="3" t="str">
        <f>IF(B298="","",IFERROR(IF(VLOOKUP(B298,AUXILIAR!$O$2:$P$50,2,FALSE)="","CADASTRAR GERENTE",VLOOKUP(B298,AUXILIAR!$O$2:$P$50,2,FALSE)),"CADASTRAR GERENTE"))</f>
        <v/>
      </c>
      <c r="P298" s="3" t="str">
        <f t="shared" si="15"/>
        <v/>
      </c>
    </row>
    <row r="299" spans="1:16" x14ac:dyDescent="0.25">
      <c r="A299" s="4"/>
      <c r="J299" s="3" t="str">
        <f t="shared" si="13"/>
        <v/>
      </c>
      <c r="K299" s="3" t="str">
        <f t="shared" si="14"/>
        <v/>
      </c>
      <c r="O299" s="3" t="str">
        <f>IF(B299="","",IFERROR(IF(VLOOKUP(B299,AUXILIAR!$O$2:$P$50,2,FALSE)="","CADASTRAR GERENTE",VLOOKUP(B299,AUXILIAR!$O$2:$P$50,2,FALSE)),"CADASTRAR GERENTE"))</f>
        <v/>
      </c>
      <c r="P299" s="3" t="str">
        <f t="shared" si="15"/>
        <v/>
      </c>
    </row>
    <row r="300" spans="1:16" x14ac:dyDescent="0.25">
      <c r="A300" s="4"/>
      <c r="J300" s="3" t="str">
        <f t="shared" si="13"/>
        <v/>
      </c>
      <c r="K300" s="3" t="str">
        <f t="shared" si="14"/>
        <v/>
      </c>
      <c r="O300" s="3" t="str">
        <f>IF(B300="","",IFERROR(IF(VLOOKUP(B300,AUXILIAR!$O$2:$P$50,2,FALSE)="","CADASTRAR GERENTE",VLOOKUP(B300,AUXILIAR!$O$2:$P$50,2,FALSE)),"CADASTRAR GERENTE"))</f>
        <v/>
      </c>
      <c r="P300" s="3" t="str">
        <f t="shared" si="15"/>
        <v/>
      </c>
    </row>
    <row r="301" spans="1:16" x14ac:dyDescent="0.25">
      <c r="A301" s="4"/>
      <c r="J301" s="3" t="str">
        <f t="shared" si="13"/>
        <v/>
      </c>
      <c r="K301" s="3" t="str">
        <f t="shared" si="14"/>
        <v/>
      </c>
      <c r="O301" s="3" t="str">
        <f>IF(B301="","",IFERROR(IF(VLOOKUP(B301,AUXILIAR!$O$2:$P$50,2,FALSE)="","CADASTRAR GERENTE",VLOOKUP(B301,AUXILIAR!$O$2:$P$50,2,FALSE)),"CADASTRAR GERENTE"))</f>
        <v/>
      </c>
      <c r="P301" s="3" t="str">
        <f t="shared" si="15"/>
        <v/>
      </c>
    </row>
    <row r="302" spans="1:16" x14ac:dyDescent="0.25">
      <c r="A302" s="4"/>
      <c r="J302" s="3" t="str">
        <f t="shared" si="13"/>
        <v/>
      </c>
      <c r="K302" s="3" t="str">
        <f t="shared" si="14"/>
        <v/>
      </c>
      <c r="O302" s="3" t="str">
        <f>IF(B302="","",IFERROR(IF(VLOOKUP(B302,AUXILIAR!$O$2:$P$50,2,FALSE)="","CADASTRAR GERENTE",VLOOKUP(B302,AUXILIAR!$O$2:$P$50,2,FALSE)),"CADASTRAR GERENTE"))</f>
        <v/>
      </c>
      <c r="P302" s="3" t="str">
        <f t="shared" si="15"/>
        <v/>
      </c>
    </row>
    <row r="303" spans="1:16" x14ac:dyDescent="0.25">
      <c r="A303" s="4"/>
      <c r="J303" s="3" t="str">
        <f t="shared" si="13"/>
        <v/>
      </c>
      <c r="K303" s="3" t="str">
        <f t="shared" si="14"/>
        <v/>
      </c>
      <c r="O303" s="3" t="str">
        <f>IF(B303="","",IFERROR(IF(VLOOKUP(B303,AUXILIAR!$O$2:$P$50,2,FALSE)="","CADASTRAR GERENTE",VLOOKUP(B303,AUXILIAR!$O$2:$P$50,2,FALSE)),"CADASTRAR GERENTE"))</f>
        <v/>
      </c>
      <c r="P303" s="3" t="str">
        <f t="shared" si="15"/>
        <v/>
      </c>
    </row>
    <row r="304" spans="1:16" x14ac:dyDescent="0.25">
      <c r="A304" s="4"/>
      <c r="J304" s="3" t="str">
        <f t="shared" si="13"/>
        <v/>
      </c>
      <c r="K304" s="3" t="str">
        <f t="shared" si="14"/>
        <v/>
      </c>
      <c r="O304" s="3" t="str">
        <f>IF(B304="","",IFERROR(IF(VLOOKUP(B304,AUXILIAR!$O$2:$P$50,2,FALSE)="","CADASTRAR GERENTE",VLOOKUP(B304,AUXILIAR!$O$2:$P$50,2,FALSE)),"CADASTRAR GERENTE"))</f>
        <v/>
      </c>
      <c r="P304" s="3" t="str">
        <f t="shared" si="15"/>
        <v/>
      </c>
    </row>
    <row r="305" spans="1:16" x14ac:dyDescent="0.25">
      <c r="A305" s="4"/>
      <c r="J305" s="3" t="str">
        <f t="shared" si="13"/>
        <v/>
      </c>
      <c r="K305" s="3" t="str">
        <f t="shared" si="14"/>
        <v/>
      </c>
      <c r="O305" s="3" t="str">
        <f>IF(B305="","",IFERROR(IF(VLOOKUP(B305,AUXILIAR!$O$2:$P$50,2,FALSE)="","CADASTRAR GERENTE",VLOOKUP(B305,AUXILIAR!$O$2:$P$50,2,FALSE)),"CADASTRAR GERENTE"))</f>
        <v/>
      </c>
      <c r="P305" s="3" t="str">
        <f t="shared" si="15"/>
        <v/>
      </c>
    </row>
    <row r="306" spans="1:16" x14ac:dyDescent="0.25">
      <c r="A306" s="4"/>
      <c r="J306" s="3" t="str">
        <f t="shared" si="13"/>
        <v/>
      </c>
      <c r="K306" s="3" t="str">
        <f t="shared" si="14"/>
        <v/>
      </c>
      <c r="O306" s="3" t="str">
        <f>IF(B306="","",IFERROR(IF(VLOOKUP(B306,AUXILIAR!$O$2:$P$50,2,FALSE)="","CADASTRAR GERENTE",VLOOKUP(B306,AUXILIAR!$O$2:$P$50,2,FALSE)),"CADASTRAR GERENTE"))</f>
        <v/>
      </c>
      <c r="P306" s="3" t="str">
        <f t="shared" si="15"/>
        <v/>
      </c>
    </row>
    <row r="307" spans="1:16" x14ac:dyDescent="0.25">
      <c r="A307" s="4"/>
      <c r="J307" s="3" t="str">
        <f t="shared" si="13"/>
        <v/>
      </c>
      <c r="K307" s="3" t="str">
        <f t="shared" si="14"/>
        <v/>
      </c>
      <c r="O307" s="3" t="str">
        <f>IF(B307="","",IFERROR(IF(VLOOKUP(B307,AUXILIAR!$O$2:$P$50,2,FALSE)="","CADASTRAR GERENTE",VLOOKUP(B307,AUXILIAR!$O$2:$P$50,2,FALSE)),"CADASTRAR GERENTE"))</f>
        <v/>
      </c>
      <c r="P307" s="3" t="str">
        <f t="shared" si="15"/>
        <v/>
      </c>
    </row>
    <row r="308" spans="1:16" x14ac:dyDescent="0.25">
      <c r="A308" s="4"/>
      <c r="J308" s="3" t="str">
        <f t="shared" si="13"/>
        <v/>
      </c>
      <c r="K308" s="3" t="str">
        <f t="shared" si="14"/>
        <v/>
      </c>
      <c r="O308" s="3" t="str">
        <f>IF(B308="","",IFERROR(IF(VLOOKUP(B308,AUXILIAR!$O$2:$P$50,2,FALSE)="","CADASTRAR GERENTE",VLOOKUP(B308,AUXILIAR!$O$2:$P$50,2,FALSE)),"CADASTRAR GERENTE"))</f>
        <v/>
      </c>
      <c r="P308" s="3" t="str">
        <f t="shared" si="15"/>
        <v/>
      </c>
    </row>
    <row r="309" spans="1:16" x14ac:dyDescent="0.25">
      <c r="A309" s="4"/>
      <c r="J309" s="3" t="str">
        <f t="shared" si="13"/>
        <v/>
      </c>
      <c r="K309" s="3" t="str">
        <f t="shared" si="14"/>
        <v/>
      </c>
      <c r="O309" s="3" t="str">
        <f>IF(B309="","",IFERROR(IF(VLOOKUP(B309,AUXILIAR!$O$2:$P$50,2,FALSE)="","CADASTRAR GERENTE",VLOOKUP(B309,AUXILIAR!$O$2:$P$50,2,FALSE)),"CADASTRAR GERENTE"))</f>
        <v/>
      </c>
      <c r="P309" s="3" t="str">
        <f t="shared" si="15"/>
        <v/>
      </c>
    </row>
    <row r="310" spans="1:16" x14ac:dyDescent="0.25">
      <c r="A310" s="4"/>
      <c r="J310" s="3" t="str">
        <f t="shared" si="13"/>
        <v/>
      </c>
      <c r="K310" s="3" t="str">
        <f t="shared" si="14"/>
        <v/>
      </c>
      <c r="O310" s="3" t="str">
        <f>IF(B310="","",IFERROR(IF(VLOOKUP(B310,AUXILIAR!$O$2:$P$50,2,FALSE)="","CADASTRAR GERENTE",VLOOKUP(B310,AUXILIAR!$O$2:$P$50,2,FALSE)),"CADASTRAR GERENTE"))</f>
        <v/>
      </c>
      <c r="P310" s="3" t="str">
        <f t="shared" si="15"/>
        <v/>
      </c>
    </row>
    <row r="311" spans="1:16" x14ac:dyDescent="0.25">
      <c r="A311" s="4"/>
      <c r="J311" s="3" t="str">
        <f t="shared" si="13"/>
        <v/>
      </c>
      <c r="K311" s="3" t="str">
        <f t="shared" si="14"/>
        <v/>
      </c>
      <c r="O311" s="3" t="str">
        <f>IF(B311="","",IFERROR(IF(VLOOKUP(B311,AUXILIAR!$O$2:$P$50,2,FALSE)="","CADASTRAR GERENTE",VLOOKUP(B311,AUXILIAR!$O$2:$P$50,2,FALSE)),"CADASTRAR GERENTE"))</f>
        <v/>
      </c>
      <c r="P311" s="3" t="str">
        <f t="shared" si="15"/>
        <v/>
      </c>
    </row>
    <row r="312" spans="1:16" x14ac:dyDescent="0.25">
      <c r="A312" s="4"/>
      <c r="J312" s="3" t="str">
        <f t="shared" ref="J312:J375" si="16">IF(C312="","",IF(E312="Retorno Total"," ",IF(E312="Cancelado"," ",IF(AND(G312="SIM",H312="SIM"),"SIM","NÃO"))))</f>
        <v/>
      </c>
      <c r="K312" s="3" t="str">
        <f t="shared" ref="K312:K375" si="17">IF(C312="","",IF(AND(F312="SIM",I312="SIM",J312="SIM"),"OK","NOK"))</f>
        <v/>
      </c>
      <c r="O312" s="3" t="str">
        <f>IF(B312="","",IFERROR(IF(VLOOKUP(B312,AUXILIAR!$O$2:$P$50,2,FALSE)="","CADASTRAR GERENTE",VLOOKUP(B312,AUXILIAR!$O$2:$P$50,2,FALSE)),"CADASTRAR GERENTE"))</f>
        <v/>
      </c>
      <c r="P312" s="3" t="str">
        <f t="shared" si="15"/>
        <v/>
      </c>
    </row>
    <row r="313" spans="1:16" x14ac:dyDescent="0.25">
      <c r="A313" s="4"/>
      <c r="J313" s="3" t="str">
        <f t="shared" si="16"/>
        <v/>
      </c>
      <c r="K313" s="3" t="str">
        <f t="shared" si="17"/>
        <v/>
      </c>
      <c r="O313" s="3" t="str">
        <f>IF(B313="","",IFERROR(IF(VLOOKUP(B313,AUXILIAR!$O$2:$P$50,2,FALSE)="","CADASTRAR GERENTE",VLOOKUP(B313,AUXILIAR!$O$2:$P$50,2,FALSE)),"CADASTRAR GERENTE"))</f>
        <v/>
      </c>
      <c r="P313" s="3" t="str">
        <f t="shared" si="15"/>
        <v/>
      </c>
    </row>
    <row r="314" spans="1:16" x14ac:dyDescent="0.25">
      <c r="A314" s="4"/>
      <c r="J314" s="3" t="str">
        <f t="shared" si="16"/>
        <v/>
      </c>
      <c r="K314" s="3" t="str">
        <f t="shared" si="17"/>
        <v/>
      </c>
      <c r="O314" s="3" t="str">
        <f>IF(B314="","",IFERROR(IF(VLOOKUP(B314,AUXILIAR!$O$2:$P$50,2,FALSE)="","CADASTRAR GERENTE",VLOOKUP(B314,AUXILIAR!$O$2:$P$50,2,FALSE)),"CADASTRAR GERENTE"))</f>
        <v/>
      </c>
      <c r="P314" s="3" t="str">
        <f t="shared" si="15"/>
        <v/>
      </c>
    </row>
    <row r="315" spans="1:16" x14ac:dyDescent="0.25">
      <c r="A315" s="4"/>
      <c r="J315" s="3" t="str">
        <f t="shared" si="16"/>
        <v/>
      </c>
      <c r="K315" s="3" t="str">
        <f t="shared" si="17"/>
        <v/>
      </c>
      <c r="O315" s="3" t="str">
        <f>IF(B315="","",IFERROR(IF(VLOOKUP(B315,AUXILIAR!$O$2:$P$50,2,FALSE)="","CADASTRAR GERENTE",VLOOKUP(B315,AUXILIAR!$O$2:$P$50,2,FALSE)),"CADASTRAR GERENTE"))</f>
        <v/>
      </c>
      <c r="P315" s="3" t="str">
        <f t="shared" si="15"/>
        <v/>
      </c>
    </row>
    <row r="316" spans="1:16" x14ac:dyDescent="0.25">
      <c r="A316" s="4"/>
      <c r="J316" s="3" t="str">
        <f t="shared" si="16"/>
        <v/>
      </c>
      <c r="K316" s="3" t="str">
        <f t="shared" si="17"/>
        <v/>
      </c>
      <c r="O316" s="3" t="str">
        <f>IF(B316="","",IFERROR(IF(VLOOKUP(B316,AUXILIAR!$O$2:$P$50,2,FALSE)="","CADASTRAR GERENTE",VLOOKUP(B316,AUXILIAR!$O$2:$P$50,2,FALSE)),"CADASTRAR GERENTE"))</f>
        <v/>
      </c>
      <c r="P316" s="3" t="str">
        <f t="shared" si="15"/>
        <v/>
      </c>
    </row>
    <row r="317" spans="1:16" x14ac:dyDescent="0.25">
      <c r="A317" s="4"/>
      <c r="J317" s="3" t="str">
        <f t="shared" si="16"/>
        <v/>
      </c>
      <c r="K317" s="3" t="str">
        <f t="shared" si="17"/>
        <v/>
      </c>
      <c r="O317" s="3" t="str">
        <f>IF(B317="","",IFERROR(IF(VLOOKUP(B317,AUXILIAR!$O$2:$P$50,2,FALSE)="","CADASTRAR GERENTE",VLOOKUP(B317,AUXILIAR!$O$2:$P$50,2,FALSE)),"CADASTRAR GERENTE"))</f>
        <v/>
      </c>
      <c r="P317" s="3" t="str">
        <f t="shared" si="15"/>
        <v/>
      </c>
    </row>
    <row r="318" spans="1:16" x14ac:dyDescent="0.25">
      <c r="A318" s="4"/>
      <c r="J318" s="3" t="str">
        <f t="shared" si="16"/>
        <v/>
      </c>
      <c r="K318" s="3" t="str">
        <f t="shared" si="17"/>
        <v/>
      </c>
      <c r="O318" s="3" t="str">
        <f>IF(B318="","",IFERROR(IF(VLOOKUP(B318,AUXILIAR!$O$2:$P$50,2,FALSE)="","CADASTRAR GERENTE",VLOOKUP(B318,AUXILIAR!$O$2:$P$50,2,FALSE)),"CADASTRAR GERENTE"))</f>
        <v/>
      </c>
      <c r="P318" s="3" t="str">
        <f t="shared" si="15"/>
        <v/>
      </c>
    </row>
    <row r="319" spans="1:16" x14ac:dyDescent="0.25">
      <c r="A319" s="4"/>
      <c r="J319" s="3" t="str">
        <f t="shared" si="16"/>
        <v/>
      </c>
      <c r="K319" s="3" t="str">
        <f t="shared" si="17"/>
        <v/>
      </c>
      <c r="O319" s="3" t="str">
        <f>IF(B319="","",IFERROR(IF(VLOOKUP(B319,AUXILIAR!$O$2:$P$50,2,FALSE)="","CADASTRAR GERENTE",VLOOKUP(B319,AUXILIAR!$O$2:$P$50,2,FALSE)),"CADASTRAR GERENTE"))</f>
        <v/>
      </c>
      <c r="P319" s="3" t="str">
        <f t="shared" si="15"/>
        <v/>
      </c>
    </row>
    <row r="320" spans="1:16" x14ac:dyDescent="0.25">
      <c r="A320" s="4"/>
      <c r="J320" s="3" t="str">
        <f t="shared" si="16"/>
        <v/>
      </c>
      <c r="K320" s="3" t="str">
        <f t="shared" si="17"/>
        <v/>
      </c>
      <c r="O320" s="3" t="str">
        <f>IF(B320="","",IFERROR(IF(VLOOKUP(B320,AUXILIAR!$O$2:$P$50,2,FALSE)="","CADASTRAR GERENTE",VLOOKUP(B320,AUXILIAR!$O$2:$P$50,2,FALSE)),"CADASTRAR GERENTE"))</f>
        <v/>
      </c>
      <c r="P320" s="3" t="str">
        <f t="shared" si="15"/>
        <v/>
      </c>
    </row>
    <row r="321" spans="1:16" x14ac:dyDescent="0.25">
      <c r="A321" s="4"/>
      <c r="J321" s="3" t="str">
        <f t="shared" si="16"/>
        <v/>
      </c>
      <c r="K321" s="3" t="str">
        <f t="shared" si="17"/>
        <v/>
      </c>
      <c r="O321" s="3" t="str">
        <f>IF(B321="","",IFERROR(IF(VLOOKUP(B321,AUXILIAR!$O$2:$P$50,2,FALSE)="","CADASTRAR GERENTE",VLOOKUP(B321,AUXILIAR!$O$2:$P$50,2,FALSE)),"CADASTRAR GERENTE"))</f>
        <v/>
      </c>
      <c r="P321" s="3" t="str">
        <f t="shared" si="15"/>
        <v/>
      </c>
    </row>
    <row r="322" spans="1:16" x14ac:dyDescent="0.25">
      <c r="A322" s="4"/>
      <c r="J322" s="3" t="str">
        <f t="shared" si="16"/>
        <v/>
      </c>
      <c r="K322" s="3" t="str">
        <f t="shared" si="17"/>
        <v/>
      </c>
      <c r="O322" s="3" t="str">
        <f>IF(B322="","",IFERROR(IF(VLOOKUP(B322,AUXILIAR!$O$2:$P$50,2,FALSE)="","CADASTRAR GERENTE",VLOOKUP(B322,AUXILIAR!$O$2:$P$50,2,FALSE)),"CADASTRAR GERENTE"))</f>
        <v/>
      </c>
      <c r="P322" s="3" t="str">
        <f t="shared" si="15"/>
        <v/>
      </c>
    </row>
    <row r="323" spans="1:16" x14ac:dyDescent="0.25">
      <c r="A323" s="4"/>
      <c r="J323" s="3" t="str">
        <f t="shared" si="16"/>
        <v/>
      </c>
      <c r="K323" s="3" t="str">
        <f t="shared" si="17"/>
        <v/>
      </c>
      <c r="O323" s="3" t="str">
        <f>IF(B323="","",IFERROR(IF(VLOOKUP(B323,AUXILIAR!$O$2:$P$50,2,FALSE)="","CADASTRAR GERENTE",VLOOKUP(B323,AUXILIAR!$O$2:$P$50,2,FALSE)),"CADASTRAR GERENTE"))</f>
        <v/>
      </c>
      <c r="P323" s="3" t="str">
        <f t="shared" si="15"/>
        <v/>
      </c>
    </row>
    <row r="324" spans="1:16" x14ac:dyDescent="0.25">
      <c r="A324" s="4"/>
      <c r="J324" s="3" t="str">
        <f t="shared" si="16"/>
        <v/>
      </c>
      <c r="K324" s="3" t="str">
        <f t="shared" si="17"/>
        <v/>
      </c>
      <c r="O324" s="3" t="str">
        <f>IF(B324="","",IFERROR(IF(VLOOKUP(B324,AUXILIAR!$O$2:$P$50,2,FALSE)="","CADASTRAR GERENTE",VLOOKUP(B324,AUXILIAR!$O$2:$P$50,2,FALSE)),"CADASTRAR GERENTE"))</f>
        <v/>
      </c>
      <c r="P324" s="3" t="str">
        <f t="shared" ref="P324:P387" si="18">IF(C324="","",TEXT(A353,"yyyymmdd")&amp;"-"&amp;B324&amp;"-"&amp;C324)</f>
        <v/>
      </c>
    </row>
    <row r="325" spans="1:16" x14ac:dyDescent="0.25">
      <c r="A325" s="4"/>
      <c r="J325" s="3" t="str">
        <f t="shared" si="16"/>
        <v/>
      </c>
      <c r="K325" s="3" t="str">
        <f t="shared" si="17"/>
        <v/>
      </c>
      <c r="O325" s="3" t="str">
        <f>IF(B325="","",IFERROR(IF(VLOOKUP(B325,AUXILIAR!$O$2:$P$50,2,FALSE)="","CADASTRAR GERENTE",VLOOKUP(B325,AUXILIAR!$O$2:$P$50,2,FALSE)),"CADASTRAR GERENTE"))</f>
        <v/>
      </c>
      <c r="P325" s="3" t="str">
        <f t="shared" si="18"/>
        <v/>
      </c>
    </row>
    <row r="326" spans="1:16" x14ac:dyDescent="0.25">
      <c r="A326" s="4"/>
      <c r="J326" s="3" t="str">
        <f t="shared" si="16"/>
        <v/>
      </c>
      <c r="K326" s="3" t="str">
        <f t="shared" si="17"/>
        <v/>
      </c>
      <c r="O326" s="3" t="str">
        <f>IF(B326="","",IFERROR(IF(VLOOKUP(B326,AUXILIAR!$O$2:$P$50,2,FALSE)="","CADASTRAR GERENTE",VLOOKUP(B326,AUXILIAR!$O$2:$P$50,2,FALSE)),"CADASTRAR GERENTE"))</f>
        <v/>
      </c>
      <c r="P326" s="3" t="str">
        <f t="shared" si="18"/>
        <v/>
      </c>
    </row>
    <row r="327" spans="1:16" x14ac:dyDescent="0.25">
      <c r="A327" s="4"/>
      <c r="J327" s="3" t="str">
        <f t="shared" si="16"/>
        <v/>
      </c>
      <c r="K327" s="3" t="str">
        <f t="shared" si="17"/>
        <v/>
      </c>
      <c r="O327" s="3" t="str">
        <f>IF(B327="","",IFERROR(IF(VLOOKUP(B327,AUXILIAR!$O$2:$P$50,2,FALSE)="","CADASTRAR GERENTE",VLOOKUP(B327,AUXILIAR!$O$2:$P$50,2,FALSE)),"CADASTRAR GERENTE"))</f>
        <v/>
      </c>
      <c r="P327" s="3" t="str">
        <f t="shared" si="18"/>
        <v/>
      </c>
    </row>
    <row r="328" spans="1:16" x14ac:dyDescent="0.25">
      <c r="A328" s="4"/>
      <c r="J328" s="3" t="str">
        <f t="shared" si="16"/>
        <v/>
      </c>
      <c r="K328" s="3" t="str">
        <f t="shared" si="17"/>
        <v/>
      </c>
      <c r="O328" s="3" t="str">
        <f>IF(B328="","",IFERROR(IF(VLOOKUP(B328,AUXILIAR!$O$2:$P$50,2,FALSE)="","CADASTRAR GERENTE",VLOOKUP(B328,AUXILIAR!$O$2:$P$50,2,FALSE)),"CADASTRAR GERENTE"))</f>
        <v/>
      </c>
      <c r="P328" s="3" t="str">
        <f t="shared" si="18"/>
        <v/>
      </c>
    </row>
    <row r="329" spans="1:16" x14ac:dyDescent="0.25">
      <c r="A329" s="4"/>
      <c r="J329" s="3" t="str">
        <f t="shared" si="16"/>
        <v/>
      </c>
      <c r="K329" s="3" t="str">
        <f t="shared" si="17"/>
        <v/>
      </c>
      <c r="O329" s="3" t="str">
        <f>IF(B329="","",IFERROR(IF(VLOOKUP(B329,AUXILIAR!$O$2:$P$50,2,FALSE)="","CADASTRAR GERENTE",VLOOKUP(B329,AUXILIAR!$O$2:$P$50,2,FALSE)),"CADASTRAR GERENTE"))</f>
        <v/>
      </c>
      <c r="P329" s="3" t="str">
        <f t="shared" si="18"/>
        <v/>
      </c>
    </row>
    <row r="330" spans="1:16" x14ac:dyDescent="0.25">
      <c r="A330" s="4"/>
      <c r="J330" s="3" t="str">
        <f t="shared" si="16"/>
        <v/>
      </c>
      <c r="K330" s="3" t="str">
        <f t="shared" si="17"/>
        <v/>
      </c>
      <c r="O330" s="3" t="str">
        <f>IF(B330="","",IFERROR(IF(VLOOKUP(B330,AUXILIAR!$O$2:$P$50,2,FALSE)="","CADASTRAR GERENTE",VLOOKUP(B330,AUXILIAR!$O$2:$P$50,2,FALSE)),"CADASTRAR GERENTE"))</f>
        <v/>
      </c>
      <c r="P330" s="3" t="str">
        <f t="shared" si="18"/>
        <v/>
      </c>
    </row>
    <row r="331" spans="1:16" x14ac:dyDescent="0.25">
      <c r="A331" s="4"/>
      <c r="J331" s="3" t="str">
        <f t="shared" si="16"/>
        <v/>
      </c>
      <c r="K331" s="3" t="str">
        <f t="shared" si="17"/>
        <v/>
      </c>
      <c r="O331" s="3" t="str">
        <f>IF(B331="","",IFERROR(IF(VLOOKUP(B331,AUXILIAR!$O$2:$P$50,2,FALSE)="","CADASTRAR GERENTE",VLOOKUP(B331,AUXILIAR!$O$2:$P$50,2,FALSE)),"CADASTRAR GERENTE"))</f>
        <v/>
      </c>
      <c r="P331" s="3" t="str">
        <f t="shared" si="18"/>
        <v/>
      </c>
    </row>
    <row r="332" spans="1:16" x14ac:dyDescent="0.25">
      <c r="A332" s="4"/>
      <c r="J332" s="3" t="str">
        <f t="shared" si="16"/>
        <v/>
      </c>
      <c r="K332" s="3" t="str">
        <f t="shared" si="17"/>
        <v/>
      </c>
      <c r="O332" s="3" t="str">
        <f>IF(B332="","",IFERROR(IF(VLOOKUP(B332,AUXILIAR!$O$2:$P$50,2,FALSE)="","CADASTRAR GERENTE",VLOOKUP(B332,AUXILIAR!$O$2:$P$50,2,FALSE)),"CADASTRAR GERENTE"))</f>
        <v/>
      </c>
      <c r="P332" s="3" t="str">
        <f t="shared" si="18"/>
        <v/>
      </c>
    </row>
    <row r="333" spans="1:16" x14ac:dyDescent="0.25">
      <c r="A333" s="4"/>
      <c r="J333" s="3" t="str">
        <f t="shared" si="16"/>
        <v/>
      </c>
      <c r="K333" s="3" t="str">
        <f t="shared" si="17"/>
        <v/>
      </c>
      <c r="O333" s="3" t="str">
        <f>IF(B333="","",IFERROR(IF(VLOOKUP(B333,AUXILIAR!$O$2:$P$50,2,FALSE)="","CADASTRAR GERENTE",VLOOKUP(B333,AUXILIAR!$O$2:$P$50,2,FALSE)),"CADASTRAR GERENTE"))</f>
        <v/>
      </c>
      <c r="P333" s="3" t="str">
        <f t="shared" si="18"/>
        <v/>
      </c>
    </row>
    <row r="334" spans="1:16" x14ac:dyDescent="0.25">
      <c r="A334" s="4"/>
      <c r="J334" s="3" t="str">
        <f t="shared" si="16"/>
        <v/>
      </c>
      <c r="K334" s="3" t="str">
        <f t="shared" si="17"/>
        <v/>
      </c>
      <c r="O334" s="3" t="str">
        <f>IF(B334="","",IFERROR(IF(VLOOKUP(B334,AUXILIAR!$O$2:$P$50,2,FALSE)="","CADASTRAR GERENTE",VLOOKUP(B334,AUXILIAR!$O$2:$P$50,2,FALSE)),"CADASTRAR GERENTE"))</f>
        <v/>
      </c>
      <c r="P334" s="3" t="str">
        <f t="shared" si="18"/>
        <v/>
      </c>
    </row>
    <row r="335" spans="1:16" x14ac:dyDescent="0.25">
      <c r="A335" s="4"/>
      <c r="J335" s="3" t="str">
        <f t="shared" si="16"/>
        <v/>
      </c>
      <c r="K335" s="3" t="str">
        <f t="shared" si="17"/>
        <v/>
      </c>
      <c r="O335" s="3" t="str">
        <f>IF(B335="","",IFERROR(IF(VLOOKUP(B335,AUXILIAR!$O$2:$P$50,2,FALSE)="","CADASTRAR GERENTE",VLOOKUP(B335,AUXILIAR!$O$2:$P$50,2,FALSE)),"CADASTRAR GERENTE"))</f>
        <v/>
      </c>
      <c r="P335" s="3" t="str">
        <f t="shared" si="18"/>
        <v/>
      </c>
    </row>
    <row r="336" spans="1:16" x14ac:dyDescent="0.25">
      <c r="A336" s="4"/>
      <c r="J336" s="3" t="str">
        <f t="shared" si="16"/>
        <v/>
      </c>
      <c r="K336" s="3" t="str">
        <f t="shared" si="17"/>
        <v/>
      </c>
      <c r="O336" s="3" t="str">
        <f>IF(B336="","",IFERROR(IF(VLOOKUP(B336,AUXILIAR!$O$2:$P$50,2,FALSE)="","CADASTRAR GERENTE",VLOOKUP(B336,AUXILIAR!$O$2:$P$50,2,FALSE)),"CADASTRAR GERENTE"))</f>
        <v/>
      </c>
      <c r="P336" s="3" t="str">
        <f t="shared" si="18"/>
        <v/>
      </c>
    </row>
    <row r="337" spans="1:16" x14ac:dyDescent="0.25">
      <c r="A337" s="4"/>
      <c r="J337" s="3" t="str">
        <f t="shared" si="16"/>
        <v/>
      </c>
      <c r="K337" s="3" t="str">
        <f t="shared" si="17"/>
        <v/>
      </c>
      <c r="O337" s="3" t="str">
        <f>IF(B337="","",IFERROR(IF(VLOOKUP(B337,AUXILIAR!$O$2:$P$50,2,FALSE)="","CADASTRAR GERENTE",VLOOKUP(B337,AUXILIAR!$O$2:$P$50,2,FALSE)),"CADASTRAR GERENTE"))</f>
        <v/>
      </c>
      <c r="P337" s="3" t="str">
        <f t="shared" si="18"/>
        <v/>
      </c>
    </row>
    <row r="338" spans="1:16" x14ac:dyDescent="0.25">
      <c r="A338" s="4"/>
      <c r="J338" s="3" t="str">
        <f t="shared" si="16"/>
        <v/>
      </c>
      <c r="K338" s="3" t="str">
        <f t="shared" si="17"/>
        <v/>
      </c>
      <c r="O338" s="3" t="str">
        <f>IF(B338="","",IFERROR(IF(VLOOKUP(B338,AUXILIAR!$O$2:$P$50,2,FALSE)="","CADASTRAR GERENTE",VLOOKUP(B338,AUXILIAR!$O$2:$P$50,2,FALSE)),"CADASTRAR GERENTE"))</f>
        <v/>
      </c>
      <c r="P338" s="3" t="str">
        <f t="shared" si="18"/>
        <v/>
      </c>
    </row>
    <row r="339" spans="1:16" x14ac:dyDescent="0.25">
      <c r="A339" s="4"/>
      <c r="J339" s="3" t="str">
        <f t="shared" si="16"/>
        <v/>
      </c>
      <c r="K339" s="3" t="str">
        <f t="shared" si="17"/>
        <v/>
      </c>
      <c r="O339" s="3" t="str">
        <f>IF(B339="","",IFERROR(IF(VLOOKUP(B339,AUXILIAR!$O$2:$P$50,2,FALSE)="","CADASTRAR GERENTE",VLOOKUP(B339,AUXILIAR!$O$2:$P$50,2,FALSE)),"CADASTRAR GERENTE"))</f>
        <v/>
      </c>
      <c r="P339" s="3" t="str">
        <f t="shared" si="18"/>
        <v/>
      </c>
    </row>
    <row r="340" spans="1:16" x14ac:dyDescent="0.25">
      <c r="A340" s="4"/>
      <c r="J340" s="3" t="str">
        <f t="shared" si="16"/>
        <v/>
      </c>
      <c r="K340" s="3" t="str">
        <f t="shared" si="17"/>
        <v/>
      </c>
      <c r="O340" s="3" t="str">
        <f>IF(B340="","",IFERROR(IF(VLOOKUP(B340,AUXILIAR!$O$2:$P$50,2,FALSE)="","CADASTRAR GERENTE",VLOOKUP(B340,AUXILIAR!$O$2:$P$50,2,FALSE)),"CADASTRAR GERENTE"))</f>
        <v/>
      </c>
      <c r="P340" s="3" t="str">
        <f t="shared" si="18"/>
        <v/>
      </c>
    </row>
    <row r="341" spans="1:16" x14ac:dyDescent="0.25">
      <c r="A341" s="4"/>
      <c r="J341" s="3" t="str">
        <f t="shared" si="16"/>
        <v/>
      </c>
      <c r="K341" s="3" t="str">
        <f t="shared" si="17"/>
        <v/>
      </c>
      <c r="O341" s="3" t="str">
        <f>IF(B341="","",IFERROR(IF(VLOOKUP(B341,AUXILIAR!$O$2:$P$50,2,FALSE)="","CADASTRAR GERENTE",VLOOKUP(B341,AUXILIAR!$O$2:$P$50,2,FALSE)),"CADASTRAR GERENTE"))</f>
        <v/>
      </c>
      <c r="P341" s="3" t="str">
        <f t="shared" si="18"/>
        <v/>
      </c>
    </row>
    <row r="342" spans="1:16" x14ac:dyDescent="0.25">
      <c r="A342" s="4"/>
      <c r="J342" s="3" t="str">
        <f t="shared" si="16"/>
        <v/>
      </c>
      <c r="K342" s="3" t="str">
        <f t="shared" si="17"/>
        <v/>
      </c>
      <c r="O342" s="3" t="str">
        <f>IF(B342="","",IFERROR(IF(VLOOKUP(B342,AUXILIAR!$O$2:$P$50,2,FALSE)="","CADASTRAR GERENTE",VLOOKUP(B342,AUXILIAR!$O$2:$P$50,2,FALSE)),"CADASTRAR GERENTE"))</f>
        <v/>
      </c>
      <c r="P342" s="3" t="str">
        <f t="shared" si="18"/>
        <v/>
      </c>
    </row>
    <row r="343" spans="1:16" x14ac:dyDescent="0.25">
      <c r="A343" s="4"/>
      <c r="J343" s="3" t="str">
        <f t="shared" si="16"/>
        <v/>
      </c>
      <c r="K343" s="3" t="str">
        <f t="shared" si="17"/>
        <v/>
      </c>
      <c r="O343" s="3" t="str">
        <f>IF(B343="","",IFERROR(IF(VLOOKUP(B343,AUXILIAR!$O$2:$P$50,2,FALSE)="","CADASTRAR GERENTE",VLOOKUP(B343,AUXILIAR!$O$2:$P$50,2,FALSE)),"CADASTRAR GERENTE"))</f>
        <v/>
      </c>
      <c r="P343" s="3" t="str">
        <f t="shared" si="18"/>
        <v/>
      </c>
    </row>
    <row r="344" spans="1:16" x14ac:dyDescent="0.25">
      <c r="A344" s="4"/>
      <c r="J344" s="3" t="str">
        <f t="shared" si="16"/>
        <v/>
      </c>
      <c r="K344" s="3" t="str">
        <f t="shared" si="17"/>
        <v/>
      </c>
      <c r="O344" s="3" t="str">
        <f>IF(B344="","",IFERROR(IF(VLOOKUP(B344,AUXILIAR!$O$2:$P$50,2,FALSE)="","CADASTRAR GERENTE",VLOOKUP(B344,AUXILIAR!$O$2:$P$50,2,FALSE)),"CADASTRAR GERENTE"))</f>
        <v/>
      </c>
      <c r="P344" s="3" t="str">
        <f t="shared" si="18"/>
        <v/>
      </c>
    </row>
    <row r="345" spans="1:16" x14ac:dyDescent="0.25">
      <c r="A345" s="4"/>
      <c r="J345" s="3" t="str">
        <f t="shared" si="16"/>
        <v/>
      </c>
      <c r="K345" s="3" t="str">
        <f t="shared" si="17"/>
        <v/>
      </c>
      <c r="O345" s="3" t="str">
        <f>IF(B345="","",IFERROR(IF(VLOOKUP(B345,AUXILIAR!$O$2:$P$50,2,FALSE)="","CADASTRAR GERENTE",VLOOKUP(B345,AUXILIAR!$O$2:$P$50,2,FALSE)),"CADASTRAR GERENTE"))</f>
        <v/>
      </c>
      <c r="P345" s="3" t="str">
        <f t="shared" si="18"/>
        <v/>
      </c>
    </row>
    <row r="346" spans="1:16" x14ac:dyDescent="0.25">
      <c r="A346" s="4"/>
      <c r="J346" s="3" t="str">
        <f t="shared" si="16"/>
        <v/>
      </c>
      <c r="K346" s="3" t="str">
        <f t="shared" si="17"/>
        <v/>
      </c>
      <c r="O346" s="3" t="str">
        <f>IF(B346="","",IFERROR(IF(VLOOKUP(B346,AUXILIAR!$O$2:$P$50,2,FALSE)="","CADASTRAR GERENTE",VLOOKUP(B346,AUXILIAR!$O$2:$P$50,2,FALSE)),"CADASTRAR GERENTE"))</f>
        <v/>
      </c>
      <c r="P346" s="3" t="str">
        <f t="shared" si="18"/>
        <v/>
      </c>
    </row>
    <row r="347" spans="1:16" x14ac:dyDescent="0.25">
      <c r="A347" s="4"/>
      <c r="J347" s="3" t="str">
        <f t="shared" si="16"/>
        <v/>
      </c>
      <c r="K347" s="3" t="str">
        <f t="shared" si="17"/>
        <v/>
      </c>
      <c r="O347" s="3" t="str">
        <f>IF(B347="","",IFERROR(IF(VLOOKUP(B347,AUXILIAR!$O$2:$P$50,2,FALSE)="","CADASTRAR GERENTE",VLOOKUP(B347,AUXILIAR!$O$2:$P$50,2,FALSE)),"CADASTRAR GERENTE"))</f>
        <v/>
      </c>
      <c r="P347" s="3" t="str">
        <f t="shared" si="18"/>
        <v/>
      </c>
    </row>
    <row r="348" spans="1:16" x14ac:dyDescent="0.25">
      <c r="A348" s="4"/>
      <c r="J348" s="3" t="str">
        <f t="shared" si="16"/>
        <v/>
      </c>
      <c r="K348" s="3" t="str">
        <f t="shared" si="17"/>
        <v/>
      </c>
      <c r="O348" s="3" t="str">
        <f>IF(B348="","",IFERROR(IF(VLOOKUP(B348,AUXILIAR!$O$2:$P$50,2,FALSE)="","CADASTRAR GERENTE",VLOOKUP(B348,AUXILIAR!$O$2:$P$50,2,FALSE)),"CADASTRAR GERENTE"))</f>
        <v/>
      </c>
      <c r="P348" s="3" t="str">
        <f t="shared" si="18"/>
        <v/>
      </c>
    </row>
    <row r="349" spans="1:16" x14ac:dyDescent="0.25">
      <c r="A349" s="4"/>
      <c r="J349" s="3" t="str">
        <f t="shared" si="16"/>
        <v/>
      </c>
      <c r="K349" s="3" t="str">
        <f t="shared" si="17"/>
        <v/>
      </c>
      <c r="O349" s="3" t="str">
        <f>IF(B349="","",IFERROR(IF(VLOOKUP(B349,AUXILIAR!$O$2:$P$50,2,FALSE)="","CADASTRAR GERENTE",VLOOKUP(B349,AUXILIAR!$O$2:$P$50,2,FALSE)),"CADASTRAR GERENTE"))</f>
        <v/>
      </c>
      <c r="P349" s="3" t="str">
        <f t="shared" si="18"/>
        <v/>
      </c>
    </row>
    <row r="350" spans="1:16" x14ac:dyDescent="0.25">
      <c r="A350" s="4"/>
      <c r="J350" s="3" t="str">
        <f t="shared" si="16"/>
        <v/>
      </c>
      <c r="K350" s="3" t="str">
        <f t="shared" si="17"/>
        <v/>
      </c>
      <c r="O350" s="3" t="str">
        <f>IF(B350="","",IFERROR(IF(VLOOKUP(B350,AUXILIAR!$O$2:$P$50,2,FALSE)="","CADASTRAR GERENTE",VLOOKUP(B350,AUXILIAR!$O$2:$P$50,2,FALSE)),"CADASTRAR GERENTE"))</f>
        <v/>
      </c>
      <c r="P350" s="3" t="str">
        <f t="shared" si="18"/>
        <v/>
      </c>
    </row>
    <row r="351" spans="1:16" x14ac:dyDescent="0.25">
      <c r="A351" s="4"/>
      <c r="J351" s="3" t="str">
        <f t="shared" si="16"/>
        <v/>
      </c>
      <c r="K351" s="3" t="str">
        <f t="shared" si="17"/>
        <v/>
      </c>
      <c r="O351" s="3" t="str">
        <f>IF(B351="","",IFERROR(IF(VLOOKUP(B351,AUXILIAR!$O$2:$P$50,2,FALSE)="","CADASTRAR GERENTE",VLOOKUP(B351,AUXILIAR!$O$2:$P$50,2,FALSE)),"CADASTRAR GERENTE"))</f>
        <v/>
      </c>
      <c r="P351" s="3" t="str">
        <f t="shared" si="18"/>
        <v/>
      </c>
    </row>
    <row r="352" spans="1:16" x14ac:dyDescent="0.25">
      <c r="A352" s="4"/>
      <c r="J352" s="3" t="str">
        <f t="shared" si="16"/>
        <v/>
      </c>
      <c r="K352" s="3" t="str">
        <f t="shared" si="17"/>
        <v/>
      </c>
      <c r="O352" s="3" t="str">
        <f>IF(B352="","",IFERROR(IF(VLOOKUP(B352,AUXILIAR!$O$2:$P$50,2,FALSE)="","CADASTRAR GERENTE",VLOOKUP(B352,AUXILIAR!$O$2:$P$50,2,FALSE)),"CADASTRAR GERENTE"))</f>
        <v/>
      </c>
      <c r="P352" s="3" t="str">
        <f t="shared" si="18"/>
        <v/>
      </c>
    </row>
    <row r="353" spans="1:16" x14ac:dyDescent="0.25">
      <c r="A353" s="4"/>
      <c r="J353" s="3" t="str">
        <f t="shared" si="16"/>
        <v/>
      </c>
      <c r="K353" s="3" t="str">
        <f t="shared" si="17"/>
        <v/>
      </c>
      <c r="O353" s="3" t="str">
        <f>IF(B353="","",IFERROR(IF(VLOOKUP(B353,AUXILIAR!$O$2:$P$50,2,FALSE)="","CADASTRAR GERENTE",VLOOKUP(B353,AUXILIAR!$O$2:$P$50,2,FALSE)),"CADASTRAR GERENTE"))</f>
        <v/>
      </c>
      <c r="P353" s="3" t="str">
        <f t="shared" si="18"/>
        <v/>
      </c>
    </row>
    <row r="354" spans="1:16" x14ac:dyDescent="0.25">
      <c r="A354" s="4"/>
      <c r="J354" s="3" t="str">
        <f t="shared" si="16"/>
        <v/>
      </c>
      <c r="K354" s="3" t="str">
        <f t="shared" si="17"/>
        <v/>
      </c>
      <c r="O354" s="3" t="str">
        <f>IF(B354="","",IFERROR(IF(VLOOKUP(B354,AUXILIAR!$O$2:$P$50,2,FALSE)="","CADASTRAR GERENTE",VLOOKUP(B354,AUXILIAR!$O$2:$P$50,2,FALSE)),"CADASTRAR GERENTE"))</f>
        <v/>
      </c>
      <c r="P354" s="3" t="str">
        <f t="shared" si="18"/>
        <v/>
      </c>
    </row>
    <row r="355" spans="1:16" x14ac:dyDescent="0.25">
      <c r="A355" s="4"/>
      <c r="J355" s="3" t="str">
        <f t="shared" si="16"/>
        <v/>
      </c>
      <c r="K355" s="3" t="str">
        <f t="shared" si="17"/>
        <v/>
      </c>
      <c r="O355" s="3" t="str">
        <f>IF(B355="","",IFERROR(IF(VLOOKUP(B355,AUXILIAR!$O$2:$P$50,2,FALSE)="","CADASTRAR GERENTE",VLOOKUP(B355,AUXILIAR!$O$2:$P$50,2,FALSE)),"CADASTRAR GERENTE"))</f>
        <v/>
      </c>
      <c r="P355" s="3" t="str">
        <f t="shared" si="18"/>
        <v/>
      </c>
    </row>
    <row r="356" spans="1:16" x14ac:dyDescent="0.25">
      <c r="A356" s="4"/>
      <c r="J356" s="3" t="str">
        <f t="shared" si="16"/>
        <v/>
      </c>
      <c r="K356" s="3" t="str">
        <f t="shared" si="17"/>
        <v/>
      </c>
      <c r="O356" s="3" t="str">
        <f>IF(B356="","",IFERROR(IF(VLOOKUP(B356,AUXILIAR!$O$2:$P$50,2,FALSE)="","CADASTRAR GERENTE",VLOOKUP(B356,AUXILIAR!$O$2:$P$50,2,FALSE)),"CADASTRAR GERENTE"))</f>
        <v/>
      </c>
      <c r="P356" s="3" t="str">
        <f t="shared" si="18"/>
        <v/>
      </c>
    </row>
    <row r="357" spans="1:16" x14ac:dyDescent="0.25">
      <c r="A357" s="4"/>
      <c r="J357" s="3" t="str">
        <f t="shared" si="16"/>
        <v/>
      </c>
      <c r="K357" s="3" t="str">
        <f t="shared" si="17"/>
        <v/>
      </c>
      <c r="O357" s="3" t="str">
        <f>IF(B357="","",IFERROR(IF(VLOOKUP(B357,AUXILIAR!$O$2:$P$50,2,FALSE)="","CADASTRAR GERENTE",VLOOKUP(B357,AUXILIAR!$O$2:$P$50,2,FALSE)),"CADASTRAR GERENTE"))</f>
        <v/>
      </c>
      <c r="P357" s="3" t="str">
        <f t="shared" si="18"/>
        <v/>
      </c>
    </row>
    <row r="358" spans="1:16" x14ac:dyDescent="0.25">
      <c r="A358" s="4"/>
      <c r="J358" s="3" t="str">
        <f t="shared" si="16"/>
        <v/>
      </c>
      <c r="K358" s="3" t="str">
        <f t="shared" si="17"/>
        <v/>
      </c>
      <c r="O358" s="3" t="str">
        <f>IF(B358="","",IFERROR(IF(VLOOKUP(B358,AUXILIAR!$O$2:$P$50,2,FALSE)="","CADASTRAR GERENTE",VLOOKUP(B358,AUXILIAR!$O$2:$P$50,2,FALSE)),"CADASTRAR GERENTE"))</f>
        <v/>
      </c>
      <c r="P358" s="3" t="str">
        <f t="shared" si="18"/>
        <v/>
      </c>
    </row>
    <row r="359" spans="1:16" x14ac:dyDescent="0.25">
      <c r="A359" s="4"/>
      <c r="J359" s="3" t="str">
        <f t="shared" si="16"/>
        <v/>
      </c>
      <c r="K359" s="3" t="str">
        <f t="shared" si="17"/>
        <v/>
      </c>
      <c r="O359" s="3" t="str">
        <f>IF(B359="","",IFERROR(IF(VLOOKUP(B359,AUXILIAR!$O$2:$P$50,2,FALSE)="","CADASTRAR GERENTE",VLOOKUP(B359,AUXILIAR!$O$2:$P$50,2,FALSE)),"CADASTRAR GERENTE"))</f>
        <v/>
      </c>
      <c r="P359" s="3" t="str">
        <f t="shared" si="18"/>
        <v/>
      </c>
    </row>
    <row r="360" spans="1:16" x14ac:dyDescent="0.25">
      <c r="A360" s="4"/>
      <c r="J360" s="3" t="str">
        <f t="shared" si="16"/>
        <v/>
      </c>
      <c r="K360" s="3" t="str">
        <f t="shared" si="17"/>
        <v/>
      </c>
      <c r="O360" s="3" t="str">
        <f>IF(B360="","",IFERROR(IF(VLOOKUP(B360,AUXILIAR!$O$2:$P$50,2,FALSE)="","CADASTRAR GERENTE",VLOOKUP(B360,AUXILIAR!$O$2:$P$50,2,FALSE)),"CADASTRAR GERENTE"))</f>
        <v/>
      </c>
      <c r="P360" s="3" t="str">
        <f t="shared" si="18"/>
        <v/>
      </c>
    </row>
    <row r="361" spans="1:16" x14ac:dyDescent="0.25">
      <c r="A361" s="4"/>
      <c r="J361" s="3" t="str">
        <f t="shared" si="16"/>
        <v/>
      </c>
      <c r="K361" s="3" t="str">
        <f t="shared" si="17"/>
        <v/>
      </c>
      <c r="O361" s="3" t="str">
        <f>IF(B361="","",IFERROR(IF(VLOOKUP(B361,AUXILIAR!$O$2:$P$50,2,FALSE)="","CADASTRAR GERENTE",VLOOKUP(B361,AUXILIAR!$O$2:$P$50,2,FALSE)),"CADASTRAR GERENTE"))</f>
        <v/>
      </c>
      <c r="P361" s="3" t="str">
        <f t="shared" si="18"/>
        <v/>
      </c>
    </row>
    <row r="362" spans="1:16" x14ac:dyDescent="0.25">
      <c r="A362" s="4"/>
      <c r="J362" s="3" t="str">
        <f t="shared" si="16"/>
        <v/>
      </c>
      <c r="K362" s="3" t="str">
        <f t="shared" si="17"/>
        <v/>
      </c>
      <c r="O362" s="3" t="str">
        <f>IF(B362="","",IFERROR(IF(VLOOKUP(B362,AUXILIAR!$O$2:$P$50,2,FALSE)="","CADASTRAR GERENTE",VLOOKUP(B362,AUXILIAR!$O$2:$P$50,2,FALSE)),"CADASTRAR GERENTE"))</f>
        <v/>
      </c>
      <c r="P362" s="3" t="str">
        <f t="shared" si="18"/>
        <v/>
      </c>
    </row>
    <row r="363" spans="1:16" x14ac:dyDescent="0.25">
      <c r="A363" s="4"/>
      <c r="J363" s="3" t="str">
        <f t="shared" si="16"/>
        <v/>
      </c>
      <c r="K363" s="3" t="str">
        <f t="shared" si="17"/>
        <v/>
      </c>
      <c r="O363" s="3" t="str">
        <f>IF(B363="","",IFERROR(IF(VLOOKUP(B363,AUXILIAR!$O$2:$P$50,2,FALSE)="","CADASTRAR GERENTE",VLOOKUP(B363,AUXILIAR!$O$2:$P$50,2,FALSE)),"CADASTRAR GERENTE"))</f>
        <v/>
      </c>
      <c r="P363" s="3" t="str">
        <f t="shared" si="18"/>
        <v/>
      </c>
    </row>
    <row r="364" spans="1:16" x14ac:dyDescent="0.25">
      <c r="A364" s="4"/>
      <c r="J364" s="3" t="str">
        <f t="shared" si="16"/>
        <v/>
      </c>
      <c r="K364" s="3" t="str">
        <f t="shared" si="17"/>
        <v/>
      </c>
      <c r="O364" s="3" t="str">
        <f>IF(B364="","",IFERROR(IF(VLOOKUP(B364,AUXILIAR!$O$2:$P$50,2,FALSE)="","CADASTRAR GERENTE",VLOOKUP(B364,AUXILIAR!$O$2:$P$50,2,FALSE)),"CADASTRAR GERENTE"))</f>
        <v/>
      </c>
      <c r="P364" s="3" t="str">
        <f t="shared" si="18"/>
        <v/>
      </c>
    </row>
    <row r="365" spans="1:16" x14ac:dyDescent="0.25">
      <c r="A365" s="4"/>
      <c r="J365" s="3" t="str">
        <f t="shared" si="16"/>
        <v/>
      </c>
      <c r="K365" s="3" t="str">
        <f t="shared" si="17"/>
        <v/>
      </c>
      <c r="O365" s="3" t="str">
        <f>IF(B365="","",IFERROR(IF(VLOOKUP(B365,AUXILIAR!$O$2:$P$50,2,FALSE)="","CADASTRAR GERENTE",VLOOKUP(B365,AUXILIAR!$O$2:$P$50,2,FALSE)),"CADASTRAR GERENTE"))</f>
        <v/>
      </c>
      <c r="P365" s="3" t="str">
        <f t="shared" si="18"/>
        <v/>
      </c>
    </row>
    <row r="366" spans="1:16" x14ac:dyDescent="0.25">
      <c r="A366" s="4"/>
      <c r="J366" s="3" t="str">
        <f t="shared" si="16"/>
        <v/>
      </c>
      <c r="K366" s="3" t="str">
        <f t="shared" si="17"/>
        <v/>
      </c>
      <c r="O366" s="3" t="str">
        <f>IF(B366="","",IFERROR(IF(VLOOKUP(B366,AUXILIAR!$O$2:$P$50,2,FALSE)="","CADASTRAR GERENTE",VLOOKUP(B366,AUXILIAR!$O$2:$P$50,2,FALSE)),"CADASTRAR GERENTE"))</f>
        <v/>
      </c>
      <c r="P366" s="3" t="str">
        <f t="shared" si="18"/>
        <v/>
      </c>
    </row>
    <row r="367" spans="1:16" x14ac:dyDescent="0.25">
      <c r="A367" s="4"/>
      <c r="J367" s="3" t="str">
        <f t="shared" si="16"/>
        <v/>
      </c>
      <c r="K367" s="3" t="str">
        <f t="shared" si="17"/>
        <v/>
      </c>
      <c r="O367" s="3" t="str">
        <f>IF(B367="","",IFERROR(IF(VLOOKUP(B367,AUXILIAR!$O$2:$P$50,2,FALSE)="","CADASTRAR GERENTE",VLOOKUP(B367,AUXILIAR!$O$2:$P$50,2,FALSE)),"CADASTRAR GERENTE"))</f>
        <v/>
      </c>
      <c r="P367" s="3" t="str">
        <f t="shared" si="18"/>
        <v/>
      </c>
    </row>
    <row r="368" spans="1:16" x14ac:dyDescent="0.25">
      <c r="A368" s="4"/>
      <c r="J368" s="3" t="str">
        <f t="shared" si="16"/>
        <v/>
      </c>
      <c r="K368" s="3" t="str">
        <f t="shared" si="17"/>
        <v/>
      </c>
      <c r="O368" s="3" t="str">
        <f>IF(B368="","",IFERROR(IF(VLOOKUP(B368,AUXILIAR!$O$2:$P$50,2,FALSE)="","CADASTRAR GERENTE",VLOOKUP(B368,AUXILIAR!$O$2:$P$50,2,FALSE)),"CADASTRAR GERENTE"))</f>
        <v/>
      </c>
      <c r="P368" s="3" t="str">
        <f t="shared" si="18"/>
        <v/>
      </c>
    </row>
    <row r="369" spans="1:16" x14ac:dyDescent="0.25">
      <c r="A369" s="4"/>
      <c r="J369" s="3" t="str">
        <f t="shared" si="16"/>
        <v/>
      </c>
      <c r="K369" s="3" t="str">
        <f t="shared" si="17"/>
        <v/>
      </c>
      <c r="O369" s="3" t="str">
        <f>IF(B369="","",IFERROR(IF(VLOOKUP(B369,AUXILIAR!$O$2:$P$50,2,FALSE)="","CADASTRAR GERENTE",VLOOKUP(B369,AUXILIAR!$O$2:$P$50,2,FALSE)),"CADASTRAR GERENTE"))</f>
        <v/>
      </c>
      <c r="P369" s="3" t="str">
        <f t="shared" si="18"/>
        <v/>
      </c>
    </row>
    <row r="370" spans="1:16" x14ac:dyDescent="0.25">
      <c r="A370" s="4"/>
      <c r="J370" s="3" t="str">
        <f t="shared" si="16"/>
        <v/>
      </c>
      <c r="K370" s="3" t="str">
        <f t="shared" si="17"/>
        <v/>
      </c>
      <c r="O370" s="3" t="str">
        <f>IF(B370="","",IFERROR(IF(VLOOKUP(B370,AUXILIAR!$O$2:$P$50,2,FALSE)="","CADASTRAR GERENTE",VLOOKUP(B370,AUXILIAR!$O$2:$P$50,2,FALSE)),"CADASTRAR GERENTE"))</f>
        <v/>
      </c>
      <c r="P370" s="3" t="str">
        <f t="shared" si="18"/>
        <v/>
      </c>
    </row>
    <row r="371" spans="1:16" x14ac:dyDescent="0.25">
      <c r="A371" s="4"/>
      <c r="J371" s="3" t="str">
        <f t="shared" si="16"/>
        <v/>
      </c>
      <c r="K371" s="3" t="str">
        <f t="shared" si="17"/>
        <v/>
      </c>
      <c r="O371" s="3" t="str">
        <f>IF(B371="","",IFERROR(IF(VLOOKUP(B371,AUXILIAR!$O$2:$P$50,2,FALSE)="","CADASTRAR GERENTE",VLOOKUP(B371,AUXILIAR!$O$2:$P$50,2,FALSE)),"CADASTRAR GERENTE"))</f>
        <v/>
      </c>
      <c r="P371" s="3" t="str">
        <f t="shared" si="18"/>
        <v/>
      </c>
    </row>
    <row r="372" spans="1:16" x14ac:dyDescent="0.25">
      <c r="A372" s="4"/>
      <c r="J372" s="3" t="str">
        <f t="shared" si="16"/>
        <v/>
      </c>
      <c r="K372" s="3" t="str">
        <f t="shared" si="17"/>
        <v/>
      </c>
      <c r="O372" s="3" t="str">
        <f>IF(B372="","",IFERROR(IF(VLOOKUP(B372,AUXILIAR!$O$2:$P$50,2,FALSE)="","CADASTRAR GERENTE",VLOOKUP(B372,AUXILIAR!$O$2:$P$50,2,FALSE)),"CADASTRAR GERENTE"))</f>
        <v/>
      </c>
      <c r="P372" s="3" t="str">
        <f t="shared" si="18"/>
        <v/>
      </c>
    </row>
    <row r="373" spans="1:16" x14ac:dyDescent="0.25">
      <c r="A373" s="4"/>
      <c r="J373" s="3" t="str">
        <f t="shared" si="16"/>
        <v/>
      </c>
      <c r="K373" s="3" t="str">
        <f t="shared" si="17"/>
        <v/>
      </c>
      <c r="O373" s="3" t="str">
        <f>IF(B373="","",IFERROR(IF(VLOOKUP(B373,AUXILIAR!$O$2:$P$50,2,FALSE)="","CADASTRAR GERENTE",VLOOKUP(B373,AUXILIAR!$O$2:$P$50,2,FALSE)),"CADASTRAR GERENTE"))</f>
        <v/>
      </c>
      <c r="P373" s="3" t="str">
        <f t="shared" si="18"/>
        <v/>
      </c>
    </row>
    <row r="374" spans="1:16" x14ac:dyDescent="0.25">
      <c r="A374" s="4"/>
      <c r="J374" s="3" t="str">
        <f t="shared" si="16"/>
        <v/>
      </c>
      <c r="K374" s="3" t="str">
        <f t="shared" si="17"/>
        <v/>
      </c>
      <c r="O374" s="3" t="str">
        <f>IF(B374="","",IFERROR(IF(VLOOKUP(B374,AUXILIAR!$O$2:$P$50,2,FALSE)="","CADASTRAR GERENTE",VLOOKUP(B374,AUXILIAR!$O$2:$P$50,2,FALSE)),"CADASTRAR GERENTE"))</f>
        <v/>
      </c>
      <c r="P374" s="3" t="str">
        <f t="shared" si="18"/>
        <v/>
      </c>
    </row>
    <row r="375" spans="1:16" x14ac:dyDescent="0.25">
      <c r="A375" s="4"/>
      <c r="J375" s="3" t="str">
        <f t="shared" si="16"/>
        <v/>
      </c>
      <c r="K375" s="3" t="str">
        <f t="shared" si="17"/>
        <v/>
      </c>
      <c r="O375" s="3" t="str">
        <f>IF(B375="","",IFERROR(IF(VLOOKUP(B375,AUXILIAR!$O$2:$P$50,2,FALSE)="","CADASTRAR GERENTE",VLOOKUP(B375,AUXILIAR!$O$2:$P$50,2,FALSE)),"CADASTRAR GERENTE"))</f>
        <v/>
      </c>
      <c r="P375" s="3" t="str">
        <f t="shared" si="18"/>
        <v/>
      </c>
    </row>
    <row r="376" spans="1:16" x14ac:dyDescent="0.25">
      <c r="A376" s="4"/>
      <c r="J376" s="3" t="str">
        <f t="shared" ref="J376:J439" si="19">IF(C376="","",IF(E376="Retorno Total"," ",IF(E376="Cancelado"," ",IF(AND(G376="SIM",H376="SIM"),"SIM","NÃO"))))</f>
        <v/>
      </c>
      <c r="K376" s="3" t="str">
        <f t="shared" ref="K376:K439" si="20">IF(C376="","",IF(AND(F376="SIM",I376="SIM",J376="SIM"),"OK","NOK"))</f>
        <v/>
      </c>
      <c r="O376" s="3" t="str">
        <f>IF(B376="","",IFERROR(IF(VLOOKUP(B376,AUXILIAR!$O$2:$P$50,2,FALSE)="","CADASTRAR GERENTE",VLOOKUP(B376,AUXILIAR!$O$2:$P$50,2,FALSE)),"CADASTRAR GERENTE"))</f>
        <v/>
      </c>
      <c r="P376" s="3" t="str">
        <f t="shared" si="18"/>
        <v/>
      </c>
    </row>
    <row r="377" spans="1:16" x14ac:dyDescent="0.25">
      <c r="A377" s="4"/>
      <c r="J377" s="3" t="str">
        <f t="shared" si="19"/>
        <v/>
      </c>
      <c r="K377" s="3" t="str">
        <f t="shared" si="20"/>
        <v/>
      </c>
      <c r="O377" s="3" t="str">
        <f>IF(B377="","",IFERROR(IF(VLOOKUP(B377,AUXILIAR!$O$2:$P$50,2,FALSE)="","CADASTRAR GERENTE",VLOOKUP(B377,AUXILIAR!$O$2:$P$50,2,FALSE)),"CADASTRAR GERENTE"))</f>
        <v/>
      </c>
      <c r="P377" s="3" t="str">
        <f t="shared" si="18"/>
        <v/>
      </c>
    </row>
    <row r="378" spans="1:16" x14ac:dyDescent="0.25">
      <c r="A378" s="4"/>
      <c r="J378" s="3" t="str">
        <f t="shared" si="19"/>
        <v/>
      </c>
      <c r="K378" s="3" t="str">
        <f t="shared" si="20"/>
        <v/>
      </c>
      <c r="O378" s="3" t="str">
        <f>IF(B378="","",IFERROR(IF(VLOOKUP(B378,AUXILIAR!$O$2:$P$50,2,FALSE)="","CADASTRAR GERENTE",VLOOKUP(B378,AUXILIAR!$O$2:$P$50,2,FALSE)),"CADASTRAR GERENTE"))</f>
        <v/>
      </c>
      <c r="P378" s="3" t="str">
        <f t="shared" si="18"/>
        <v/>
      </c>
    </row>
    <row r="379" spans="1:16" x14ac:dyDescent="0.25">
      <c r="A379" s="4"/>
      <c r="J379" s="3" t="str">
        <f t="shared" si="19"/>
        <v/>
      </c>
      <c r="K379" s="3" t="str">
        <f t="shared" si="20"/>
        <v/>
      </c>
      <c r="O379" s="3" t="str">
        <f>IF(B379="","",IFERROR(IF(VLOOKUP(B379,AUXILIAR!$O$2:$P$50,2,FALSE)="","CADASTRAR GERENTE",VLOOKUP(B379,AUXILIAR!$O$2:$P$50,2,FALSE)),"CADASTRAR GERENTE"))</f>
        <v/>
      </c>
      <c r="P379" s="3" t="str">
        <f t="shared" si="18"/>
        <v/>
      </c>
    </row>
    <row r="380" spans="1:16" x14ac:dyDescent="0.25">
      <c r="A380" s="4"/>
      <c r="J380" s="3" t="str">
        <f t="shared" si="19"/>
        <v/>
      </c>
      <c r="K380" s="3" t="str">
        <f t="shared" si="20"/>
        <v/>
      </c>
      <c r="O380" s="3" t="str">
        <f>IF(B380="","",IFERROR(IF(VLOOKUP(B380,AUXILIAR!$O$2:$P$50,2,FALSE)="","CADASTRAR GERENTE",VLOOKUP(B380,AUXILIAR!$O$2:$P$50,2,FALSE)),"CADASTRAR GERENTE"))</f>
        <v/>
      </c>
      <c r="P380" s="3" t="str">
        <f t="shared" si="18"/>
        <v/>
      </c>
    </row>
    <row r="381" spans="1:16" x14ac:dyDescent="0.25">
      <c r="A381" s="4"/>
      <c r="J381" s="3" t="str">
        <f t="shared" si="19"/>
        <v/>
      </c>
      <c r="K381" s="3" t="str">
        <f t="shared" si="20"/>
        <v/>
      </c>
      <c r="O381" s="3" t="str">
        <f>IF(B381="","",IFERROR(IF(VLOOKUP(B381,AUXILIAR!$O$2:$P$50,2,FALSE)="","CADASTRAR GERENTE",VLOOKUP(B381,AUXILIAR!$O$2:$P$50,2,FALSE)),"CADASTRAR GERENTE"))</f>
        <v/>
      </c>
      <c r="P381" s="3" t="str">
        <f t="shared" si="18"/>
        <v/>
      </c>
    </row>
    <row r="382" spans="1:16" x14ac:dyDescent="0.25">
      <c r="A382" s="4"/>
      <c r="J382" s="3" t="str">
        <f t="shared" si="19"/>
        <v/>
      </c>
      <c r="K382" s="3" t="str">
        <f t="shared" si="20"/>
        <v/>
      </c>
      <c r="O382" s="3" t="str">
        <f>IF(B382="","",IFERROR(IF(VLOOKUP(B382,AUXILIAR!$O$2:$P$50,2,FALSE)="","CADASTRAR GERENTE",VLOOKUP(B382,AUXILIAR!$O$2:$P$50,2,FALSE)),"CADASTRAR GERENTE"))</f>
        <v/>
      </c>
      <c r="P382" s="3" t="str">
        <f t="shared" si="18"/>
        <v/>
      </c>
    </row>
    <row r="383" spans="1:16" x14ac:dyDescent="0.25">
      <c r="A383" s="4"/>
      <c r="J383" s="3" t="str">
        <f t="shared" si="19"/>
        <v/>
      </c>
      <c r="K383" s="3" t="str">
        <f t="shared" si="20"/>
        <v/>
      </c>
      <c r="O383" s="3" t="str">
        <f>IF(B383="","",IFERROR(IF(VLOOKUP(B383,AUXILIAR!$O$2:$P$50,2,FALSE)="","CADASTRAR GERENTE",VLOOKUP(B383,AUXILIAR!$O$2:$P$50,2,FALSE)),"CADASTRAR GERENTE"))</f>
        <v/>
      </c>
      <c r="P383" s="3" t="str">
        <f t="shared" si="18"/>
        <v/>
      </c>
    </row>
    <row r="384" spans="1:16" x14ac:dyDescent="0.25">
      <c r="A384" s="4"/>
      <c r="J384" s="3" t="str">
        <f t="shared" si="19"/>
        <v/>
      </c>
      <c r="K384" s="3" t="str">
        <f t="shared" si="20"/>
        <v/>
      </c>
      <c r="O384" s="3" t="str">
        <f>IF(B384="","",IFERROR(IF(VLOOKUP(B384,AUXILIAR!$O$2:$P$50,2,FALSE)="","CADASTRAR GERENTE",VLOOKUP(B384,AUXILIAR!$O$2:$P$50,2,FALSE)),"CADASTRAR GERENTE"))</f>
        <v/>
      </c>
      <c r="P384" s="3" t="str">
        <f t="shared" si="18"/>
        <v/>
      </c>
    </row>
    <row r="385" spans="1:16" x14ac:dyDescent="0.25">
      <c r="A385" s="4"/>
      <c r="J385" s="3" t="str">
        <f t="shared" si="19"/>
        <v/>
      </c>
      <c r="K385" s="3" t="str">
        <f t="shared" si="20"/>
        <v/>
      </c>
      <c r="O385" s="3" t="str">
        <f>IF(B385="","",IFERROR(IF(VLOOKUP(B385,AUXILIAR!$O$2:$P$50,2,FALSE)="","CADASTRAR GERENTE",VLOOKUP(B385,AUXILIAR!$O$2:$P$50,2,FALSE)),"CADASTRAR GERENTE"))</f>
        <v/>
      </c>
      <c r="P385" s="3" t="str">
        <f t="shared" si="18"/>
        <v/>
      </c>
    </row>
    <row r="386" spans="1:16" x14ac:dyDescent="0.25">
      <c r="A386" s="4"/>
      <c r="J386" s="3" t="str">
        <f t="shared" si="19"/>
        <v/>
      </c>
      <c r="K386" s="3" t="str">
        <f t="shared" si="20"/>
        <v/>
      </c>
      <c r="O386" s="3" t="str">
        <f>IF(B386="","",IFERROR(IF(VLOOKUP(B386,AUXILIAR!$O$2:$P$50,2,FALSE)="","CADASTRAR GERENTE",VLOOKUP(B386,AUXILIAR!$O$2:$P$50,2,FALSE)),"CADASTRAR GERENTE"))</f>
        <v/>
      </c>
      <c r="P386" s="3" t="str">
        <f t="shared" si="18"/>
        <v/>
      </c>
    </row>
    <row r="387" spans="1:16" x14ac:dyDescent="0.25">
      <c r="A387" s="4"/>
      <c r="J387" s="3" t="str">
        <f t="shared" si="19"/>
        <v/>
      </c>
      <c r="K387" s="3" t="str">
        <f t="shared" si="20"/>
        <v/>
      </c>
      <c r="O387" s="3" t="str">
        <f>IF(B387="","",IFERROR(IF(VLOOKUP(B387,AUXILIAR!$O$2:$P$50,2,FALSE)="","CADASTRAR GERENTE",VLOOKUP(B387,AUXILIAR!$O$2:$P$50,2,FALSE)),"CADASTRAR GERENTE"))</f>
        <v/>
      </c>
      <c r="P387" s="3" t="str">
        <f t="shared" si="18"/>
        <v/>
      </c>
    </row>
    <row r="388" spans="1:16" x14ac:dyDescent="0.25">
      <c r="A388" s="4"/>
      <c r="J388" s="3" t="str">
        <f t="shared" si="19"/>
        <v/>
      </c>
      <c r="K388" s="3" t="str">
        <f t="shared" si="20"/>
        <v/>
      </c>
      <c r="O388" s="3" t="str">
        <f>IF(B388="","",IFERROR(IF(VLOOKUP(B388,AUXILIAR!$O$2:$P$50,2,FALSE)="","CADASTRAR GERENTE",VLOOKUP(B388,AUXILIAR!$O$2:$P$50,2,FALSE)),"CADASTRAR GERENTE"))</f>
        <v/>
      </c>
      <c r="P388" s="3" t="str">
        <f t="shared" ref="P388:P451" si="21">IF(C388="","",TEXT(A417,"yyyymmdd")&amp;"-"&amp;B388&amp;"-"&amp;C388)</f>
        <v/>
      </c>
    </row>
    <row r="389" spans="1:16" x14ac:dyDescent="0.25">
      <c r="A389" s="4"/>
      <c r="J389" s="3" t="str">
        <f t="shared" si="19"/>
        <v/>
      </c>
      <c r="K389" s="3" t="str">
        <f t="shared" si="20"/>
        <v/>
      </c>
      <c r="O389" s="3" t="str">
        <f>IF(B389="","",IFERROR(IF(VLOOKUP(B389,AUXILIAR!$O$2:$P$50,2,FALSE)="","CADASTRAR GERENTE",VLOOKUP(B389,AUXILIAR!$O$2:$P$50,2,FALSE)),"CADASTRAR GERENTE"))</f>
        <v/>
      </c>
      <c r="P389" s="3" t="str">
        <f t="shared" si="21"/>
        <v/>
      </c>
    </row>
    <row r="390" spans="1:16" x14ac:dyDescent="0.25">
      <c r="A390" s="4"/>
      <c r="J390" s="3" t="str">
        <f t="shared" si="19"/>
        <v/>
      </c>
      <c r="K390" s="3" t="str">
        <f t="shared" si="20"/>
        <v/>
      </c>
      <c r="O390" s="3" t="str">
        <f>IF(B390="","",IFERROR(IF(VLOOKUP(B390,AUXILIAR!$O$2:$P$50,2,FALSE)="","CADASTRAR GERENTE",VLOOKUP(B390,AUXILIAR!$O$2:$P$50,2,FALSE)),"CADASTRAR GERENTE"))</f>
        <v/>
      </c>
      <c r="P390" s="3" t="str">
        <f t="shared" si="21"/>
        <v/>
      </c>
    </row>
    <row r="391" spans="1:16" x14ac:dyDescent="0.25">
      <c r="A391" s="4"/>
      <c r="J391" s="3" t="str">
        <f t="shared" si="19"/>
        <v/>
      </c>
      <c r="K391" s="3" t="str">
        <f t="shared" si="20"/>
        <v/>
      </c>
      <c r="O391" s="3" t="str">
        <f>IF(B391="","",IFERROR(IF(VLOOKUP(B391,AUXILIAR!$O$2:$P$50,2,FALSE)="","CADASTRAR GERENTE",VLOOKUP(B391,AUXILIAR!$O$2:$P$50,2,FALSE)),"CADASTRAR GERENTE"))</f>
        <v/>
      </c>
      <c r="P391" s="3" t="str">
        <f t="shared" si="21"/>
        <v/>
      </c>
    </row>
    <row r="392" spans="1:16" x14ac:dyDescent="0.25">
      <c r="A392" s="4"/>
      <c r="J392" s="3" t="str">
        <f t="shared" si="19"/>
        <v/>
      </c>
      <c r="K392" s="3" t="str">
        <f t="shared" si="20"/>
        <v/>
      </c>
      <c r="O392" s="3" t="str">
        <f>IF(B392="","",IFERROR(IF(VLOOKUP(B392,AUXILIAR!$O$2:$P$50,2,FALSE)="","CADASTRAR GERENTE",VLOOKUP(B392,AUXILIAR!$O$2:$P$50,2,FALSE)),"CADASTRAR GERENTE"))</f>
        <v/>
      </c>
      <c r="P392" s="3" t="str">
        <f t="shared" si="21"/>
        <v/>
      </c>
    </row>
    <row r="393" spans="1:16" x14ac:dyDescent="0.25">
      <c r="A393" s="4"/>
      <c r="J393" s="3" t="str">
        <f t="shared" si="19"/>
        <v/>
      </c>
      <c r="K393" s="3" t="str">
        <f t="shared" si="20"/>
        <v/>
      </c>
      <c r="O393" s="3" t="str">
        <f>IF(B393="","",IFERROR(IF(VLOOKUP(B393,AUXILIAR!$O$2:$P$50,2,FALSE)="","CADASTRAR GERENTE",VLOOKUP(B393,AUXILIAR!$O$2:$P$50,2,FALSE)),"CADASTRAR GERENTE"))</f>
        <v/>
      </c>
      <c r="P393" s="3" t="str">
        <f t="shared" si="21"/>
        <v/>
      </c>
    </row>
    <row r="394" spans="1:16" x14ac:dyDescent="0.25">
      <c r="A394" s="4"/>
      <c r="J394" s="3" t="str">
        <f t="shared" si="19"/>
        <v/>
      </c>
      <c r="K394" s="3" t="str">
        <f t="shared" si="20"/>
        <v/>
      </c>
      <c r="O394" s="3" t="str">
        <f>IF(B394="","",IFERROR(IF(VLOOKUP(B394,AUXILIAR!$O$2:$P$50,2,FALSE)="","CADASTRAR GERENTE",VLOOKUP(B394,AUXILIAR!$O$2:$P$50,2,FALSE)),"CADASTRAR GERENTE"))</f>
        <v/>
      </c>
      <c r="P394" s="3" t="str">
        <f t="shared" si="21"/>
        <v/>
      </c>
    </row>
    <row r="395" spans="1:16" x14ac:dyDescent="0.25">
      <c r="A395" s="4"/>
      <c r="J395" s="3" t="str">
        <f t="shared" si="19"/>
        <v/>
      </c>
      <c r="K395" s="3" t="str">
        <f t="shared" si="20"/>
        <v/>
      </c>
      <c r="O395" s="3" t="str">
        <f>IF(B395="","",IFERROR(IF(VLOOKUP(B395,AUXILIAR!$O$2:$P$50,2,FALSE)="","CADASTRAR GERENTE",VLOOKUP(B395,AUXILIAR!$O$2:$P$50,2,FALSE)),"CADASTRAR GERENTE"))</f>
        <v/>
      </c>
      <c r="P395" s="3" t="str">
        <f t="shared" si="21"/>
        <v/>
      </c>
    </row>
    <row r="396" spans="1:16" x14ac:dyDescent="0.25">
      <c r="A396" s="4"/>
      <c r="J396" s="3" t="str">
        <f t="shared" si="19"/>
        <v/>
      </c>
      <c r="K396" s="3" t="str">
        <f t="shared" si="20"/>
        <v/>
      </c>
      <c r="O396" s="3" t="str">
        <f>IF(B396="","",IFERROR(IF(VLOOKUP(B396,AUXILIAR!$O$2:$P$50,2,FALSE)="","CADASTRAR GERENTE",VLOOKUP(B396,AUXILIAR!$O$2:$P$50,2,FALSE)),"CADASTRAR GERENTE"))</f>
        <v/>
      </c>
      <c r="P396" s="3" t="str">
        <f t="shared" si="21"/>
        <v/>
      </c>
    </row>
    <row r="397" spans="1:16" x14ac:dyDescent="0.25">
      <c r="A397" s="4"/>
      <c r="J397" s="3" t="str">
        <f t="shared" si="19"/>
        <v/>
      </c>
      <c r="K397" s="3" t="str">
        <f t="shared" si="20"/>
        <v/>
      </c>
      <c r="O397" s="3" t="str">
        <f>IF(B397="","",IFERROR(IF(VLOOKUP(B397,AUXILIAR!$O$2:$P$50,2,FALSE)="","CADASTRAR GERENTE",VLOOKUP(B397,AUXILIAR!$O$2:$P$50,2,FALSE)),"CADASTRAR GERENTE"))</f>
        <v/>
      </c>
      <c r="P397" s="3" t="str">
        <f t="shared" si="21"/>
        <v/>
      </c>
    </row>
    <row r="398" spans="1:16" x14ac:dyDescent="0.25">
      <c r="A398" s="4"/>
      <c r="J398" s="3" t="str">
        <f t="shared" si="19"/>
        <v/>
      </c>
      <c r="K398" s="3" t="str">
        <f t="shared" si="20"/>
        <v/>
      </c>
      <c r="O398" s="3" t="str">
        <f>IF(B398="","",IFERROR(IF(VLOOKUP(B398,AUXILIAR!$O$2:$P$50,2,FALSE)="","CADASTRAR GERENTE",VLOOKUP(B398,AUXILIAR!$O$2:$P$50,2,FALSE)),"CADASTRAR GERENTE"))</f>
        <v/>
      </c>
      <c r="P398" s="3" t="str">
        <f t="shared" si="21"/>
        <v/>
      </c>
    </row>
    <row r="399" spans="1:16" x14ac:dyDescent="0.25">
      <c r="A399" s="4"/>
      <c r="J399" s="3" t="str">
        <f t="shared" si="19"/>
        <v/>
      </c>
      <c r="K399" s="3" t="str">
        <f t="shared" si="20"/>
        <v/>
      </c>
      <c r="O399" s="3" t="str">
        <f>IF(B399="","",IFERROR(IF(VLOOKUP(B399,AUXILIAR!$O$2:$P$50,2,FALSE)="","CADASTRAR GERENTE",VLOOKUP(B399,AUXILIAR!$O$2:$P$50,2,FALSE)),"CADASTRAR GERENTE"))</f>
        <v/>
      </c>
      <c r="P399" s="3" t="str">
        <f t="shared" si="21"/>
        <v/>
      </c>
    </row>
    <row r="400" spans="1:16" x14ac:dyDescent="0.25">
      <c r="A400" s="4"/>
      <c r="J400" s="3" t="str">
        <f t="shared" si="19"/>
        <v/>
      </c>
      <c r="K400" s="3" t="str">
        <f t="shared" si="20"/>
        <v/>
      </c>
      <c r="O400" s="3" t="str">
        <f>IF(B400="","",IFERROR(IF(VLOOKUP(B400,AUXILIAR!$O$2:$P$50,2,FALSE)="","CADASTRAR GERENTE",VLOOKUP(B400,AUXILIAR!$O$2:$P$50,2,FALSE)),"CADASTRAR GERENTE"))</f>
        <v/>
      </c>
      <c r="P400" s="3" t="str">
        <f t="shared" si="21"/>
        <v/>
      </c>
    </row>
    <row r="401" spans="1:16" x14ac:dyDescent="0.25">
      <c r="A401" s="4"/>
      <c r="J401" s="3" t="str">
        <f t="shared" si="19"/>
        <v/>
      </c>
      <c r="K401" s="3" t="str">
        <f t="shared" si="20"/>
        <v/>
      </c>
      <c r="O401" s="3" t="str">
        <f>IF(B401="","",IFERROR(IF(VLOOKUP(B401,AUXILIAR!$O$2:$P$50,2,FALSE)="","CADASTRAR GERENTE",VLOOKUP(B401,AUXILIAR!$O$2:$P$50,2,FALSE)),"CADASTRAR GERENTE"))</f>
        <v/>
      </c>
      <c r="P401" s="3" t="str">
        <f t="shared" si="21"/>
        <v/>
      </c>
    </row>
    <row r="402" spans="1:16" x14ac:dyDescent="0.25">
      <c r="A402" s="4"/>
      <c r="J402" s="3" t="str">
        <f t="shared" si="19"/>
        <v/>
      </c>
      <c r="K402" s="3" t="str">
        <f t="shared" si="20"/>
        <v/>
      </c>
      <c r="O402" s="3" t="str">
        <f>IF(B402="","",IFERROR(IF(VLOOKUP(B402,AUXILIAR!$O$2:$P$50,2,FALSE)="","CADASTRAR GERENTE",VLOOKUP(B402,AUXILIAR!$O$2:$P$50,2,FALSE)),"CADASTRAR GERENTE"))</f>
        <v/>
      </c>
      <c r="P402" s="3" t="str">
        <f t="shared" si="21"/>
        <v/>
      </c>
    </row>
    <row r="403" spans="1:16" x14ac:dyDescent="0.25">
      <c r="A403" s="4"/>
      <c r="J403" s="3" t="str">
        <f t="shared" si="19"/>
        <v/>
      </c>
      <c r="K403" s="3" t="str">
        <f t="shared" si="20"/>
        <v/>
      </c>
      <c r="O403" s="3" t="str">
        <f>IF(B403="","",IFERROR(IF(VLOOKUP(B403,AUXILIAR!$O$2:$P$50,2,FALSE)="","CADASTRAR GERENTE",VLOOKUP(B403,AUXILIAR!$O$2:$P$50,2,FALSE)),"CADASTRAR GERENTE"))</f>
        <v/>
      </c>
      <c r="P403" s="3" t="str">
        <f t="shared" si="21"/>
        <v/>
      </c>
    </row>
    <row r="404" spans="1:16" x14ac:dyDescent="0.25">
      <c r="A404" s="4"/>
      <c r="J404" s="3" t="str">
        <f t="shared" si="19"/>
        <v/>
      </c>
      <c r="K404" s="3" t="str">
        <f t="shared" si="20"/>
        <v/>
      </c>
      <c r="O404" s="3" t="str">
        <f>IF(B404="","",IFERROR(IF(VLOOKUP(B404,AUXILIAR!$O$2:$P$50,2,FALSE)="","CADASTRAR GERENTE",VLOOKUP(B404,AUXILIAR!$O$2:$P$50,2,FALSE)),"CADASTRAR GERENTE"))</f>
        <v/>
      </c>
      <c r="P404" s="3" t="str">
        <f t="shared" si="21"/>
        <v/>
      </c>
    </row>
    <row r="405" spans="1:16" x14ac:dyDescent="0.25">
      <c r="A405" s="4"/>
      <c r="J405" s="3" t="str">
        <f t="shared" si="19"/>
        <v/>
      </c>
      <c r="K405" s="3" t="str">
        <f t="shared" si="20"/>
        <v/>
      </c>
      <c r="O405" s="3" t="str">
        <f>IF(B405="","",IFERROR(IF(VLOOKUP(B405,AUXILIAR!$O$2:$P$50,2,FALSE)="","CADASTRAR GERENTE",VLOOKUP(B405,AUXILIAR!$O$2:$P$50,2,FALSE)),"CADASTRAR GERENTE"))</f>
        <v/>
      </c>
      <c r="P405" s="3" t="str">
        <f t="shared" si="21"/>
        <v/>
      </c>
    </row>
    <row r="406" spans="1:16" x14ac:dyDescent="0.25">
      <c r="A406" s="4"/>
      <c r="J406" s="3" t="str">
        <f t="shared" si="19"/>
        <v/>
      </c>
      <c r="K406" s="3" t="str">
        <f t="shared" si="20"/>
        <v/>
      </c>
      <c r="O406" s="3" t="str">
        <f>IF(B406="","",IFERROR(IF(VLOOKUP(B406,AUXILIAR!$O$2:$P$50,2,FALSE)="","CADASTRAR GERENTE",VLOOKUP(B406,AUXILIAR!$O$2:$P$50,2,FALSE)),"CADASTRAR GERENTE"))</f>
        <v/>
      </c>
      <c r="P406" s="3" t="str">
        <f t="shared" si="21"/>
        <v/>
      </c>
    </row>
    <row r="407" spans="1:16" x14ac:dyDescent="0.25">
      <c r="A407" s="4"/>
      <c r="J407" s="3" t="str">
        <f t="shared" si="19"/>
        <v/>
      </c>
      <c r="K407" s="3" t="str">
        <f t="shared" si="20"/>
        <v/>
      </c>
      <c r="O407" s="3" t="str">
        <f>IF(B407="","",IFERROR(IF(VLOOKUP(B407,AUXILIAR!$O$2:$P$50,2,FALSE)="","CADASTRAR GERENTE",VLOOKUP(B407,AUXILIAR!$O$2:$P$50,2,FALSE)),"CADASTRAR GERENTE"))</f>
        <v/>
      </c>
      <c r="P407" s="3" t="str">
        <f t="shared" si="21"/>
        <v/>
      </c>
    </row>
    <row r="408" spans="1:16" x14ac:dyDescent="0.25">
      <c r="A408" s="4"/>
      <c r="J408" s="3" t="str">
        <f t="shared" si="19"/>
        <v/>
      </c>
      <c r="K408" s="3" t="str">
        <f t="shared" si="20"/>
        <v/>
      </c>
      <c r="O408" s="3" t="str">
        <f>IF(B408="","",IFERROR(IF(VLOOKUP(B408,AUXILIAR!$O$2:$P$50,2,FALSE)="","CADASTRAR GERENTE",VLOOKUP(B408,AUXILIAR!$O$2:$P$50,2,FALSE)),"CADASTRAR GERENTE"))</f>
        <v/>
      </c>
      <c r="P408" s="3" t="str">
        <f t="shared" si="21"/>
        <v/>
      </c>
    </row>
    <row r="409" spans="1:16" x14ac:dyDescent="0.25">
      <c r="A409" s="4"/>
      <c r="J409" s="3" t="str">
        <f t="shared" si="19"/>
        <v/>
      </c>
      <c r="K409" s="3" t="str">
        <f t="shared" si="20"/>
        <v/>
      </c>
      <c r="O409" s="3" t="str">
        <f>IF(B409="","",IFERROR(IF(VLOOKUP(B409,AUXILIAR!$O$2:$P$50,2,FALSE)="","CADASTRAR GERENTE",VLOOKUP(B409,AUXILIAR!$O$2:$P$50,2,FALSE)),"CADASTRAR GERENTE"))</f>
        <v/>
      </c>
      <c r="P409" s="3" t="str">
        <f t="shared" si="21"/>
        <v/>
      </c>
    </row>
    <row r="410" spans="1:16" x14ac:dyDescent="0.25">
      <c r="A410" s="4"/>
      <c r="J410" s="3" t="str">
        <f t="shared" si="19"/>
        <v/>
      </c>
      <c r="K410" s="3" t="str">
        <f t="shared" si="20"/>
        <v/>
      </c>
      <c r="O410" s="3" t="str">
        <f>IF(B410="","",IFERROR(IF(VLOOKUP(B410,AUXILIAR!$O$2:$P$50,2,FALSE)="","CADASTRAR GERENTE",VLOOKUP(B410,AUXILIAR!$O$2:$P$50,2,FALSE)),"CADASTRAR GERENTE"))</f>
        <v/>
      </c>
      <c r="P410" s="3" t="str">
        <f t="shared" si="21"/>
        <v/>
      </c>
    </row>
    <row r="411" spans="1:16" x14ac:dyDescent="0.25">
      <c r="A411" s="4"/>
      <c r="J411" s="3" t="str">
        <f t="shared" si="19"/>
        <v/>
      </c>
      <c r="K411" s="3" t="str">
        <f t="shared" si="20"/>
        <v/>
      </c>
      <c r="O411" s="3" t="str">
        <f>IF(B411="","",IFERROR(IF(VLOOKUP(B411,AUXILIAR!$O$2:$P$50,2,FALSE)="","CADASTRAR GERENTE",VLOOKUP(B411,AUXILIAR!$O$2:$P$50,2,FALSE)),"CADASTRAR GERENTE"))</f>
        <v/>
      </c>
      <c r="P411" s="3" t="str">
        <f t="shared" si="21"/>
        <v/>
      </c>
    </row>
    <row r="412" spans="1:16" x14ac:dyDescent="0.25">
      <c r="A412" s="4"/>
      <c r="J412" s="3" t="str">
        <f t="shared" si="19"/>
        <v/>
      </c>
      <c r="K412" s="3" t="str">
        <f t="shared" si="20"/>
        <v/>
      </c>
      <c r="O412" s="3" t="str">
        <f>IF(B412="","",IFERROR(IF(VLOOKUP(B412,AUXILIAR!$O$2:$P$50,2,FALSE)="","CADASTRAR GERENTE",VLOOKUP(B412,AUXILIAR!$O$2:$P$50,2,FALSE)),"CADASTRAR GERENTE"))</f>
        <v/>
      </c>
      <c r="P412" s="3" t="str">
        <f t="shared" si="21"/>
        <v/>
      </c>
    </row>
    <row r="413" spans="1:16" x14ac:dyDescent="0.25">
      <c r="A413" s="4"/>
      <c r="J413" s="3" t="str">
        <f t="shared" si="19"/>
        <v/>
      </c>
      <c r="K413" s="3" t="str">
        <f t="shared" si="20"/>
        <v/>
      </c>
      <c r="O413" s="3" t="str">
        <f>IF(B413="","",IFERROR(IF(VLOOKUP(B413,AUXILIAR!$O$2:$P$50,2,FALSE)="","CADASTRAR GERENTE",VLOOKUP(B413,AUXILIAR!$O$2:$P$50,2,FALSE)),"CADASTRAR GERENTE"))</f>
        <v/>
      </c>
      <c r="P413" s="3" t="str">
        <f t="shared" si="21"/>
        <v/>
      </c>
    </row>
    <row r="414" spans="1:16" x14ac:dyDescent="0.25">
      <c r="A414" s="4"/>
      <c r="J414" s="3" t="str">
        <f t="shared" si="19"/>
        <v/>
      </c>
      <c r="K414" s="3" t="str">
        <f t="shared" si="20"/>
        <v/>
      </c>
      <c r="O414" s="3" t="str">
        <f>IF(B414="","",IFERROR(IF(VLOOKUP(B414,AUXILIAR!$O$2:$P$50,2,FALSE)="","CADASTRAR GERENTE",VLOOKUP(B414,AUXILIAR!$O$2:$P$50,2,FALSE)),"CADASTRAR GERENTE"))</f>
        <v/>
      </c>
      <c r="P414" s="3" t="str">
        <f t="shared" si="21"/>
        <v/>
      </c>
    </row>
    <row r="415" spans="1:16" x14ac:dyDescent="0.25">
      <c r="A415" s="4"/>
      <c r="J415" s="3" t="str">
        <f t="shared" si="19"/>
        <v/>
      </c>
      <c r="K415" s="3" t="str">
        <f t="shared" si="20"/>
        <v/>
      </c>
      <c r="O415" s="3" t="str">
        <f>IF(B415="","",IFERROR(IF(VLOOKUP(B415,AUXILIAR!$O$2:$P$50,2,FALSE)="","CADASTRAR GERENTE",VLOOKUP(B415,AUXILIAR!$O$2:$P$50,2,FALSE)),"CADASTRAR GERENTE"))</f>
        <v/>
      </c>
      <c r="P415" s="3" t="str">
        <f t="shared" si="21"/>
        <v/>
      </c>
    </row>
    <row r="416" spans="1:16" x14ac:dyDescent="0.25">
      <c r="A416" s="4"/>
      <c r="J416" s="3" t="str">
        <f t="shared" si="19"/>
        <v/>
      </c>
      <c r="K416" s="3" t="str">
        <f t="shared" si="20"/>
        <v/>
      </c>
      <c r="O416" s="3" t="str">
        <f>IF(B416="","",IFERROR(IF(VLOOKUP(B416,AUXILIAR!$O$2:$P$50,2,FALSE)="","CADASTRAR GERENTE",VLOOKUP(B416,AUXILIAR!$O$2:$P$50,2,FALSE)),"CADASTRAR GERENTE"))</f>
        <v/>
      </c>
      <c r="P416" s="3" t="str">
        <f t="shared" si="21"/>
        <v/>
      </c>
    </row>
    <row r="417" spans="1:16" x14ac:dyDescent="0.25">
      <c r="A417" s="4"/>
      <c r="J417" s="3" t="str">
        <f t="shared" si="19"/>
        <v/>
      </c>
      <c r="K417" s="3" t="str">
        <f t="shared" si="20"/>
        <v/>
      </c>
      <c r="O417" s="3" t="str">
        <f>IF(B417="","",IFERROR(IF(VLOOKUP(B417,AUXILIAR!$O$2:$P$50,2,FALSE)="","CADASTRAR GERENTE",VLOOKUP(B417,AUXILIAR!$O$2:$P$50,2,FALSE)),"CADASTRAR GERENTE"))</f>
        <v/>
      </c>
      <c r="P417" s="3" t="str">
        <f t="shared" si="21"/>
        <v/>
      </c>
    </row>
    <row r="418" spans="1:16" x14ac:dyDescent="0.25">
      <c r="A418" s="4"/>
      <c r="J418" s="3" t="str">
        <f t="shared" si="19"/>
        <v/>
      </c>
      <c r="K418" s="3" t="str">
        <f t="shared" si="20"/>
        <v/>
      </c>
      <c r="O418" s="3" t="str">
        <f>IF(B418="","",IFERROR(IF(VLOOKUP(B418,AUXILIAR!$O$2:$P$50,2,FALSE)="","CADASTRAR GERENTE",VLOOKUP(B418,AUXILIAR!$O$2:$P$50,2,FALSE)),"CADASTRAR GERENTE"))</f>
        <v/>
      </c>
      <c r="P418" s="3" t="str">
        <f t="shared" si="21"/>
        <v/>
      </c>
    </row>
    <row r="419" spans="1:16" x14ac:dyDescent="0.25">
      <c r="A419" s="4"/>
      <c r="J419" s="3" t="str">
        <f t="shared" si="19"/>
        <v/>
      </c>
      <c r="K419" s="3" t="str">
        <f t="shared" si="20"/>
        <v/>
      </c>
      <c r="O419" s="3" t="str">
        <f>IF(B419="","",IFERROR(IF(VLOOKUP(B419,AUXILIAR!$O$2:$P$50,2,FALSE)="","CADASTRAR GERENTE",VLOOKUP(B419,AUXILIAR!$O$2:$P$50,2,FALSE)),"CADASTRAR GERENTE"))</f>
        <v/>
      </c>
      <c r="P419" s="3" t="str">
        <f t="shared" si="21"/>
        <v/>
      </c>
    </row>
    <row r="420" spans="1:16" x14ac:dyDescent="0.25">
      <c r="A420" s="4"/>
      <c r="J420" s="3" t="str">
        <f t="shared" si="19"/>
        <v/>
      </c>
      <c r="K420" s="3" t="str">
        <f t="shared" si="20"/>
        <v/>
      </c>
      <c r="O420" s="3" t="str">
        <f>IF(B420="","",IFERROR(IF(VLOOKUP(B420,AUXILIAR!$O$2:$P$50,2,FALSE)="","CADASTRAR GERENTE",VLOOKUP(B420,AUXILIAR!$O$2:$P$50,2,FALSE)),"CADASTRAR GERENTE"))</f>
        <v/>
      </c>
      <c r="P420" s="3" t="str">
        <f t="shared" si="21"/>
        <v/>
      </c>
    </row>
    <row r="421" spans="1:16" x14ac:dyDescent="0.25">
      <c r="A421" s="4"/>
      <c r="J421" s="3" t="str">
        <f t="shared" si="19"/>
        <v/>
      </c>
      <c r="K421" s="3" t="str">
        <f t="shared" si="20"/>
        <v/>
      </c>
      <c r="O421" s="3" t="str">
        <f>IF(B421="","",IFERROR(IF(VLOOKUP(B421,AUXILIAR!$O$2:$P$50,2,FALSE)="","CADASTRAR GERENTE",VLOOKUP(B421,AUXILIAR!$O$2:$P$50,2,FALSE)),"CADASTRAR GERENTE"))</f>
        <v/>
      </c>
      <c r="P421" s="3" t="str">
        <f t="shared" si="21"/>
        <v/>
      </c>
    </row>
    <row r="422" spans="1:16" x14ac:dyDescent="0.25">
      <c r="A422" s="4"/>
      <c r="J422" s="3" t="str">
        <f t="shared" si="19"/>
        <v/>
      </c>
      <c r="K422" s="3" t="str">
        <f t="shared" si="20"/>
        <v/>
      </c>
      <c r="O422" s="3" t="str">
        <f>IF(B422="","",IFERROR(IF(VLOOKUP(B422,AUXILIAR!$O$2:$P$50,2,FALSE)="","CADASTRAR GERENTE",VLOOKUP(B422,AUXILIAR!$O$2:$P$50,2,FALSE)),"CADASTRAR GERENTE"))</f>
        <v/>
      </c>
      <c r="P422" s="3" t="str">
        <f t="shared" si="21"/>
        <v/>
      </c>
    </row>
    <row r="423" spans="1:16" x14ac:dyDescent="0.25">
      <c r="A423" s="4"/>
      <c r="J423" s="3" t="str">
        <f t="shared" si="19"/>
        <v/>
      </c>
      <c r="K423" s="3" t="str">
        <f t="shared" si="20"/>
        <v/>
      </c>
      <c r="O423" s="3" t="str">
        <f>IF(B423="","",IFERROR(IF(VLOOKUP(B423,AUXILIAR!$O$2:$P$50,2,FALSE)="","CADASTRAR GERENTE",VLOOKUP(B423,AUXILIAR!$O$2:$P$50,2,FALSE)),"CADASTRAR GERENTE"))</f>
        <v/>
      </c>
      <c r="P423" s="3" t="str">
        <f t="shared" si="21"/>
        <v/>
      </c>
    </row>
    <row r="424" spans="1:16" x14ac:dyDescent="0.25">
      <c r="A424" s="4"/>
      <c r="J424" s="3" t="str">
        <f t="shared" si="19"/>
        <v/>
      </c>
      <c r="K424" s="3" t="str">
        <f t="shared" si="20"/>
        <v/>
      </c>
      <c r="O424" s="3" t="str">
        <f>IF(B424="","",IFERROR(IF(VLOOKUP(B424,AUXILIAR!$O$2:$P$50,2,FALSE)="","CADASTRAR GERENTE",VLOOKUP(B424,AUXILIAR!$O$2:$P$50,2,FALSE)),"CADASTRAR GERENTE"))</f>
        <v/>
      </c>
      <c r="P424" s="3" t="str">
        <f t="shared" si="21"/>
        <v/>
      </c>
    </row>
    <row r="425" spans="1:16" x14ac:dyDescent="0.25">
      <c r="A425" s="4"/>
      <c r="J425" s="3" t="str">
        <f t="shared" si="19"/>
        <v/>
      </c>
      <c r="K425" s="3" t="str">
        <f t="shared" si="20"/>
        <v/>
      </c>
      <c r="O425" s="3" t="str">
        <f>IF(B425="","",IFERROR(IF(VLOOKUP(B425,AUXILIAR!$O$2:$P$50,2,FALSE)="","CADASTRAR GERENTE",VLOOKUP(B425,AUXILIAR!$O$2:$P$50,2,FALSE)),"CADASTRAR GERENTE"))</f>
        <v/>
      </c>
      <c r="P425" s="3" t="str">
        <f t="shared" si="21"/>
        <v/>
      </c>
    </row>
    <row r="426" spans="1:16" x14ac:dyDescent="0.25">
      <c r="A426" s="4"/>
      <c r="J426" s="3" t="str">
        <f t="shared" si="19"/>
        <v/>
      </c>
      <c r="K426" s="3" t="str">
        <f t="shared" si="20"/>
        <v/>
      </c>
      <c r="O426" s="3" t="str">
        <f>IF(B426="","",IFERROR(IF(VLOOKUP(B426,AUXILIAR!$O$2:$P$50,2,FALSE)="","CADASTRAR GERENTE",VLOOKUP(B426,AUXILIAR!$O$2:$P$50,2,FALSE)),"CADASTRAR GERENTE"))</f>
        <v/>
      </c>
      <c r="P426" s="3" t="str">
        <f t="shared" si="21"/>
        <v/>
      </c>
    </row>
    <row r="427" spans="1:16" x14ac:dyDescent="0.25">
      <c r="A427" s="4"/>
      <c r="J427" s="3" t="str">
        <f t="shared" si="19"/>
        <v/>
      </c>
      <c r="K427" s="3" t="str">
        <f t="shared" si="20"/>
        <v/>
      </c>
      <c r="O427" s="3" t="str">
        <f>IF(B427="","",IFERROR(IF(VLOOKUP(B427,AUXILIAR!$O$2:$P$50,2,FALSE)="","CADASTRAR GERENTE",VLOOKUP(B427,AUXILIAR!$O$2:$P$50,2,FALSE)),"CADASTRAR GERENTE"))</f>
        <v/>
      </c>
      <c r="P427" s="3" t="str">
        <f t="shared" si="21"/>
        <v/>
      </c>
    </row>
    <row r="428" spans="1:16" x14ac:dyDescent="0.25">
      <c r="A428" s="4"/>
      <c r="J428" s="3" t="str">
        <f t="shared" si="19"/>
        <v/>
      </c>
      <c r="K428" s="3" t="str">
        <f t="shared" si="20"/>
        <v/>
      </c>
      <c r="O428" s="3" t="str">
        <f>IF(B428="","",IFERROR(IF(VLOOKUP(B428,AUXILIAR!$O$2:$P$50,2,FALSE)="","CADASTRAR GERENTE",VLOOKUP(B428,AUXILIAR!$O$2:$P$50,2,FALSE)),"CADASTRAR GERENTE"))</f>
        <v/>
      </c>
      <c r="P428" s="3" t="str">
        <f t="shared" si="21"/>
        <v/>
      </c>
    </row>
    <row r="429" spans="1:16" x14ac:dyDescent="0.25">
      <c r="A429" s="4"/>
      <c r="J429" s="3" t="str">
        <f t="shared" si="19"/>
        <v/>
      </c>
      <c r="K429" s="3" t="str">
        <f t="shared" si="20"/>
        <v/>
      </c>
      <c r="O429" s="3" t="str">
        <f>IF(B429="","",IFERROR(IF(VLOOKUP(B429,AUXILIAR!$O$2:$P$50,2,FALSE)="","CADASTRAR GERENTE",VLOOKUP(B429,AUXILIAR!$O$2:$P$50,2,FALSE)),"CADASTRAR GERENTE"))</f>
        <v/>
      </c>
      <c r="P429" s="3" t="str">
        <f t="shared" si="21"/>
        <v/>
      </c>
    </row>
    <row r="430" spans="1:16" x14ac:dyDescent="0.25">
      <c r="A430" s="4"/>
      <c r="J430" s="3" t="str">
        <f t="shared" si="19"/>
        <v/>
      </c>
      <c r="K430" s="3" t="str">
        <f t="shared" si="20"/>
        <v/>
      </c>
      <c r="O430" s="3" t="str">
        <f>IF(B430="","",IFERROR(IF(VLOOKUP(B430,AUXILIAR!$O$2:$P$50,2,FALSE)="","CADASTRAR GERENTE",VLOOKUP(B430,AUXILIAR!$O$2:$P$50,2,FALSE)),"CADASTRAR GERENTE"))</f>
        <v/>
      </c>
      <c r="P430" s="3" t="str">
        <f t="shared" si="21"/>
        <v/>
      </c>
    </row>
    <row r="431" spans="1:16" x14ac:dyDescent="0.25">
      <c r="A431" s="4"/>
      <c r="J431" s="3" t="str">
        <f t="shared" si="19"/>
        <v/>
      </c>
      <c r="K431" s="3" t="str">
        <f t="shared" si="20"/>
        <v/>
      </c>
      <c r="O431" s="3" t="str">
        <f>IF(B431="","",IFERROR(IF(VLOOKUP(B431,AUXILIAR!$O$2:$P$50,2,FALSE)="","CADASTRAR GERENTE",VLOOKUP(B431,AUXILIAR!$O$2:$P$50,2,FALSE)),"CADASTRAR GERENTE"))</f>
        <v/>
      </c>
      <c r="P431" s="3" t="str">
        <f t="shared" si="21"/>
        <v/>
      </c>
    </row>
    <row r="432" spans="1:16" x14ac:dyDescent="0.25">
      <c r="A432" s="4"/>
      <c r="J432" s="3" t="str">
        <f t="shared" si="19"/>
        <v/>
      </c>
      <c r="K432" s="3" t="str">
        <f t="shared" si="20"/>
        <v/>
      </c>
      <c r="O432" s="3" t="str">
        <f>IF(B432="","",IFERROR(IF(VLOOKUP(B432,AUXILIAR!$O$2:$P$50,2,FALSE)="","CADASTRAR GERENTE",VLOOKUP(B432,AUXILIAR!$O$2:$P$50,2,FALSE)),"CADASTRAR GERENTE"))</f>
        <v/>
      </c>
      <c r="P432" s="3" t="str">
        <f t="shared" si="21"/>
        <v/>
      </c>
    </row>
    <row r="433" spans="1:16" x14ac:dyDescent="0.25">
      <c r="A433" s="4"/>
      <c r="J433" s="3" t="str">
        <f t="shared" si="19"/>
        <v/>
      </c>
      <c r="K433" s="3" t="str">
        <f t="shared" si="20"/>
        <v/>
      </c>
      <c r="O433" s="3" t="str">
        <f>IF(B433="","",IFERROR(IF(VLOOKUP(B433,AUXILIAR!$O$2:$P$50,2,FALSE)="","CADASTRAR GERENTE",VLOOKUP(B433,AUXILIAR!$O$2:$P$50,2,FALSE)),"CADASTRAR GERENTE"))</f>
        <v/>
      </c>
      <c r="P433" s="3" t="str">
        <f t="shared" si="21"/>
        <v/>
      </c>
    </row>
    <row r="434" spans="1:16" x14ac:dyDescent="0.25">
      <c r="A434" s="4"/>
      <c r="J434" s="3" t="str">
        <f t="shared" si="19"/>
        <v/>
      </c>
      <c r="K434" s="3" t="str">
        <f t="shared" si="20"/>
        <v/>
      </c>
      <c r="O434" s="3" t="str">
        <f>IF(B434="","",IFERROR(IF(VLOOKUP(B434,AUXILIAR!$O$2:$P$50,2,FALSE)="","CADASTRAR GERENTE",VLOOKUP(B434,AUXILIAR!$O$2:$P$50,2,FALSE)),"CADASTRAR GERENTE"))</f>
        <v/>
      </c>
      <c r="P434" s="3" t="str">
        <f t="shared" si="21"/>
        <v/>
      </c>
    </row>
    <row r="435" spans="1:16" x14ac:dyDescent="0.25">
      <c r="A435" s="4"/>
      <c r="J435" s="3" t="str">
        <f t="shared" si="19"/>
        <v/>
      </c>
      <c r="K435" s="3" t="str">
        <f t="shared" si="20"/>
        <v/>
      </c>
      <c r="O435" s="3" t="str">
        <f>IF(B435="","",IFERROR(IF(VLOOKUP(B435,AUXILIAR!$O$2:$P$50,2,FALSE)="","CADASTRAR GERENTE",VLOOKUP(B435,AUXILIAR!$O$2:$P$50,2,FALSE)),"CADASTRAR GERENTE"))</f>
        <v/>
      </c>
      <c r="P435" s="3" t="str">
        <f t="shared" si="21"/>
        <v/>
      </c>
    </row>
    <row r="436" spans="1:16" x14ac:dyDescent="0.25">
      <c r="A436" s="4"/>
      <c r="J436" s="3" t="str">
        <f t="shared" si="19"/>
        <v/>
      </c>
      <c r="K436" s="3" t="str">
        <f t="shared" si="20"/>
        <v/>
      </c>
      <c r="O436" s="3" t="str">
        <f>IF(B436="","",IFERROR(IF(VLOOKUP(B436,AUXILIAR!$O$2:$P$50,2,FALSE)="","CADASTRAR GERENTE",VLOOKUP(B436,AUXILIAR!$O$2:$P$50,2,FALSE)),"CADASTRAR GERENTE"))</f>
        <v/>
      </c>
      <c r="P436" s="3" t="str">
        <f t="shared" si="21"/>
        <v/>
      </c>
    </row>
    <row r="437" spans="1:16" x14ac:dyDescent="0.25">
      <c r="A437" s="4"/>
      <c r="J437" s="3" t="str">
        <f t="shared" si="19"/>
        <v/>
      </c>
      <c r="K437" s="3" t="str">
        <f t="shared" si="20"/>
        <v/>
      </c>
      <c r="O437" s="3" t="str">
        <f>IF(B437="","",IFERROR(IF(VLOOKUP(B437,AUXILIAR!$O$2:$P$50,2,FALSE)="","CADASTRAR GERENTE",VLOOKUP(B437,AUXILIAR!$O$2:$P$50,2,FALSE)),"CADASTRAR GERENTE"))</f>
        <v/>
      </c>
      <c r="P437" s="3" t="str">
        <f t="shared" si="21"/>
        <v/>
      </c>
    </row>
    <row r="438" spans="1:16" x14ac:dyDescent="0.25">
      <c r="A438" s="4"/>
      <c r="J438" s="3" t="str">
        <f t="shared" si="19"/>
        <v/>
      </c>
      <c r="K438" s="3" t="str">
        <f t="shared" si="20"/>
        <v/>
      </c>
      <c r="O438" s="3" t="str">
        <f>IF(B438="","",IFERROR(IF(VLOOKUP(B438,AUXILIAR!$O$2:$P$50,2,FALSE)="","CADASTRAR GERENTE",VLOOKUP(B438,AUXILIAR!$O$2:$P$50,2,FALSE)),"CADASTRAR GERENTE"))</f>
        <v/>
      </c>
      <c r="P438" s="3" t="str">
        <f t="shared" si="21"/>
        <v/>
      </c>
    </row>
    <row r="439" spans="1:16" x14ac:dyDescent="0.25">
      <c r="A439" s="4"/>
      <c r="J439" s="3" t="str">
        <f t="shared" si="19"/>
        <v/>
      </c>
      <c r="K439" s="3" t="str">
        <f t="shared" si="20"/>
        <v/>
      </c>
      <c r="O439" s="3" t="str">
        <f>IF(B439="","",IFERROR(IF(VLOOKUP(B439,AUXILIAR!$O$2:$P$50,2,FALSE)="","CADASTRAR GERENTE",VLOOKUP(B439,AUXILIAR!$O$2:$P$50,2,FALSE)),"CADASTRAR GERENTE"))</f>
        <v/>
      </c>
      <c r="P439" s="3" t="str">
        <f t="shared" si="21"/>
        <v/>
      </c>
    </row>
    <row r="440" spans="1:16" x14ac:dyDescent="0.25">
      <c r="A440" s="4"/>
      <c r="J440" s="3" t="str">
        <f t="shared" ref="J440:J505" si="22">IF(C440="","",IF(E440="Retorno Total"," ",IF(E440="Cancelado"," ",IF(AND(G440="SIM",H440="SIM"),"SIM","NÃO"))))</f>
        <v/>
      </c>
      <c r="K440" s="3" t="str">
        <f t="shared" ref="K440:K503" si="23">IF(C440="","",IF(AND(F440="SIM",I440="SIM",J440="SIM"),"OK","NOK"))</f>
        <v/>
      </c>
      <c r="O440" s="3" t="str">
        <f>IF(B440="","",IFERROR(IF(VLOOKUP(B440,AUXILIAR!$O$2:$P$50,2,FALSE)="","CADASTRAR GERENTE",VLOOKUP(B440,AUXILIAR!$O$2:$P$50,2,FALSE)),"CADASTRAR GERENTE"))</f>
        <v/>
      </c>
      <c r="P440" s="3" t="str">
        <f t="shared" si="21"/>
        <v/>
      </c>
    </row>
    <row r="441" spans="1:16" x14ac:dyDescent="0.25">
      <c r="A441" s="4"/>
      <c r="J441" s="3" t="str">
        <f t="shared" si="22"/>
        <v/>
      </c>
      <c r="K441" s="3" t="str">
        <f t="shared" si="23"/>
        <v/>
      </c>
      <c r="O441" s="3" t="str">
        <f>IF(B441="","",IFERROR(IF(VLOOKUP(B441,AUXILIAR!$O$2:$P$50,2,FALSE)="","CADASTRAR GERENTE",VLOOKUP(B441,AUXILIAR!$O$2:$P$50,2,FALSE)),"CADASTRAR GERENTE"))</f>
        <v/>
      </c>
      <c r="P441" s="3" t="str">
        <f t="shared" si="21"/>
        <v/>
      </c>
    </row>
    <row r="442" spans="1:16" x14ac:dyDescent="0.25">
      <c r="A442" s="4"/>
      <c r="J442" s="3" t="str">
        <f t="shared" si="22"/>
        <v/>
      </c>
      <c r="K442" s="3" t="str">
        <f t="shared" si="23"/>
        <v/>
      </c>
      <c r="O442" s="3" t="str">
        <f>IF(B442="","",IFERROR(IF(VLOOKUP(B442,AUXILIAR!$O$2:$P$50,2,FALSE)="","CADASTRAR GERENTE",VLOOKUP(B442,AUXILIAR!$O$2:$P$50,2,FALSE)),"CADASTRAR GERENTE"))</f>
        <v/>
      </c>
      <c r="P442" s="3" t="str">
        <f t="shared" si="21"/>
        <v/>
      </c>
    </row>
    <row r="443" spans="1:16" x14ac:dyDescent="0.25">
      <c r="A443" s="4"/>
      <c r="J443" s="3" t="str">
        <f t="shared" si="22"/>
        <v/>
      </c>
      <c r="K443" s="3" t="str">
        <f t="shared" si="23"/>
        <v/>
      </c>
      <c r="O443" s="3" t="str">
        <f>IF(B443="","",IFERROR(IF(VLOOKUP(B443,AUXILIAR!$O$2:$P$50,2,FALSE)="","CADASTRAR GERENTE",VLOOKUP(B443,AUXILIAR!$O$2:$P$50,2,FALSE)),"CADASTRAR GERENTE"))</f>
        <v/>
      </c>
      <c r="P443" s="3" t="str">
        <f t="shared" si="21"/>
        <v/>
      </c>
    </row>
    <row r="444" spans="1:16" x14ac:dyDescent="0.25">
      <c r="A444" s="4"/>
      <c r="J444" s="3" t="str">
        <f t="shared" si="22"/>
        <v/>
      </c>
      <c r="K444" s="3" t="str">
        <f t="shared" si="23"/>
        <v/>
      </c>
      <c r="O444" s="3" t="str">
        <f>IF(B444="","",IFERROR(IF(VLOOKUP(B444,AUXILIAR!$O$2:$P$50,2,FALSE)="","CADASTRAR GERENTE",VLOOKUP(B444,AUXILIAR!$O$2:$P$50,2,FALSE)),"CADASTRAR GERENTE"))</f>
        <v/>
      </c>
      <c r="P444" s="3" t="str">
        <f t="shared" si="21"/>
        <v/>
      </c>
    </row>
    <row r="445" spans="1:16" x14ac:dyDescent="0.25">
      <c r="A445" s="4"/>
      <c r="J445" s="3" t="str">
        <f t="shared" si="22"/>
        <v/>
      </c>
      <c r="K445" s="3" t="str">
        <f t="shared" si="23"/>
        <v/>
      </c>
      <c r="O445" s="3" t="str">
        <f>IF(B445="","",IFERROR(IF(VLOOKUP(B445,AUXILIAR!$O$2:$P$50,2,FALSE)="","CADASTRAR GERENTE",VLOOKUP(B445,AUXILIAR!$O$2:$P$50,2,FALSE)),"CADASTRAR GERENTE"))</f>
        <v/>
      </c>
      <c r="P445" s="3" t="str">
        <f t="shared" si="21"/>
        <v/>
      </c>
    </row>
    <row r="446" spans="1:16" x14ac:dyDescent="0.25">
      <c r="A446" s="4"/>
      <c r="J446" s="3" t="str">
        <f t="shared" si="22"/>
        <v/>
      </c>
      <c r="K446" s="3" t="str">
        <f t="shared" si="23"/>
        <v/>
      </c>
      <c r="O446" s="3" t="str">
        <f>IF(B446="","",IFERROR(IF(VLOOKUP(B446,AUXILIAR!$O$2:$P$50,2,FALSE)="","CADASTRAR GERENTE",VLOOKUP(B446,AUXILIAR!$O$2:$P$50,2,FALSE)),"CADASTRAR GERENTE"))</f>
        <v/>
      </c>
      <c r="P446" s="3" t="str">
        <f t="shared" si="21"/>
        <v/>
      </c>
    </row>
    <row r="447" spans="1:16" x14ac:dyDescent="0.25">
      <c r="A447" s="4"/>
      <c r="J447" s="3" t="str">
        <f t="shared" si="22"/>
        <v/>
      </c>
      <c r="K447" s="3" t="str">
        <f t="shared" si="23"/>
        <v/>
      </c>
      <c r="O447" s="3" t="str">
        <f>IF(B447="","",IFERROR(IF(VLOOKUP(B447,AUXILIAR!$O$2:$P$50,2,FALSE)="","CADASTRAR GERENTE",VLOOKUP(B447,AUXILIAR!$O$2:$P$50,2,FALSE)),"CADASTRAR GERENTE"))</f>
        <v/>
      </c>
      <c r="P447" s="3" t="str">
        <f t="shared" si="21"/>
        <v/>
      </c>
    </row>
    <row r="448" spans="1:16" x14ac:dyDescent="0.25">
      <c r="A448" s="4"/>
      <c r="J448" s="3" t="str">
        <f t="shared" si="22"/>
        <v/>
      </c>
      <c r="K448" s="3" t="str">
        <f t="shared" si="23"/>
        <v/>
      </c>
      <c r="O448" s="3" t="str">
        <f>IF(B448="","",IFERROR(IF(VLOOKUP(B448,AUXILIAR!$O$2:$P$50,2,FALSE)="","CADASTRAR GERENTE",VLOOKUP(B448,AUXILIAR!$O$2:$P$50,2,FALSE)),"CADASTRAR GERENTE"))</f>
        <v/>
      </c>
      <c r="P448" s="3" t="str">
        <f t="shared" si="21"/>
        <v/>
      </c>
    </row>
    <row r="449" spans="1:16" x14ac:dyDescent="0.25">
      <c r="A449" s="4"/>
      <c r="J449" s="3" t="str">
        <f t="shared" si="22"/>
        <v/>
      </c>
      <c r="K449" s="3" t="str">
        <f t="shared" si="23"/>
        <v/>
      </c>
      <c r="O449" s="3" t="str">
        <f>IF(B449="","",IFERROR(IF(VLOOKUP(B449,AUXILIAR!$O$2:$P$50,2,FALSE)="","CADASTRAR GERENTE",VLOOKUP(B449,AUXILIAR!$O$2:$P$50,2,FALSE)),"CADASTRAR GERENTE"))</f>
        <v/>
      </c>
      <c r="P449" s="3" t="str">
        <f t="shared" si="21"/>
        <v/>
      </c>
    </row>
    <row r="450" spans="1:16" x14ac:dyDescent="0.25">
      <c r="A450" s="4"/>
      <c r="J450" s="3" t="str">
        <f t="shared" si="22"/>
        <v/>
      </c>
      <c r="K450" s="3" t="str">
        <f t="shared" si="23"/>
        <v/>
      </c>
      <c r="O450" s="3" t="str">
        <f>IF(B450="","",IFERROR(IF(VLOOKUP(B450,AUXILIAR!$O$2:$P$50,2,FALSE)="","CADASTRAR GERENTE",VLOOKUP(B450,AUXILIAR!$O$2:$P$50,2,FALSE)),"CADASTRAR GERENTE"))</f>
        <v/>
      </c>
      <c r="P450" s="3" t="str">
        <f t="shared" si="21"/>
        <v/>
      </c>
    </row>
    <row r="451" spans="1:16" x14ac:dyDescent="0.25">
      <c r="A451" s="4"/>
      <c r="J451" s="3" t="str">
        <f t="shared" si="22"/>
        <v/>
      </c>
      <c r="K451" s="3" t="str">
        <f t="shared" si="23"/>
        <v/>
      </c>
      <c r="O451" s="3" t="str">
        <f>IF(B451="","",IFERROR(IF(VLOOKUP(B451,AUXILIAR!$O$2:$P$50,2,FALSE)="","CADASTRAR GERENTE",VLOOKUP(B451,AUXILIAR!$O$2:$P$50,2,FALSE)),"CADASTRAR GERENTE"))</f>
        <v/>
      </c>
      <c r="P451" s="3" t="str">
        <f t="shared" si="21"/>
        <v/>
      </c>
    </row>
    <row r="452" spans="1:16" x14ac:dyDescent="0.25">
      <c r="A452" s="4"/>
      <c r="J452" s="3" t="str">
        <f t="shared" si="22"/>
        <v/>
      </c>
      <c r="K452" s="3" t="str">
        <f t="shared" si="23"/>
        <v/>
      </c>
      <c r="O452" s="3" t="str">
        <f>IF(B452="","",IFERROR(IF(VLOOKUP(B452,AUXILIAR!$O$2:$P$50,2,FALSE)="","CADASTRAR GERENTE",VLOOKUP(B452,AUXILIAR!$O$2:$P$50,2,FALSE)),"CADASTRAR GERENTE"))</f>
        <v/>
      </c>
      <c r="P452" s="3" t="str">
        <f t="shared" ref="P452:P505" si="24">IF(C452="","",TEXT(A481,"yyyymmdd")&amp;"-"&amp;B452&amp;"-"&amp;C452)</f>
        <v/>
      </c>
    </row>
    <row r="453" spans="1:16" x14ac:dyDescent="0.25">
      <c r="A453" s="4"/>
      <c r="J453" s="3" t="str">
        <f t="shared" si="22"/>
        <v/>
      </c>
      <c r="K453" s="3" t="str">
        <f t="shared" si="23"/>
        <v/>
      </c>
      <c r="O453" s="3" t="str">
        <f>IF(B453="","",IFERROR(IF(VLOOKUP(B453,AUXILIAR!$O$2:$P$50,2,FALSE)="","CADASTRAR GERENTE",VLOOKUP(B453,AUXILIAR!$O$2:$P$50,2,FALSE)),"CADASTRAR GERENTE"))</f>
        <v/>
      </c>
      <c r="P453" s="3" t="str">
        <f t="shared" si="24"/>
        <v/>
      </c>
    </row>
    <row r="454" spans="1:16" x14ac:dyDescent="0.25">
      <c r="A454" s="4"/>
      <c r="J454" s="3" t="str">
        <f t="shared" si="22"/>
        <v/>
      </c>
      <c r="K454" s="3" t="str">
        <f t="shared" si="23"/>
        <v/>
      </c>
      <c r="O454" s="3" t="str">
        <f>IF(B454="","",IFERROR(IF(VLOOKUP(B454,AUXILIAR!$O$2:$P$50,2,FALSE)="","CADASTRAR GERENTE",VLOOKUP(B454,AUXILIAR!$O$2:$P$50,2,FALSE)),"CADASTRAR GERENTE"))</f>
        <v/>
      </c>
      <c r="P454" s="3" t="str">
        <f t="shared" si="24"/>
        <v/>
      </c>
    </row>
    <row r="455" spans="1:16" x14ac:dyDescent="0.25">
      <c r="A455" s="4"/>
      <c r="J455" s="3" t="str">
        <f t="shared" si="22"/>
        <v/>
      </c>
      <c r="K455" s="3" t="str">
        <f t="shared" si="23"/>
        <v/>
      </c>
      <c r="O455" s="3" t="str">
        <f>IF(B455="","",IFERROR(IF(VLOOKUP(B455,AUXILIAR!$O$2:$P$50,2,FALSE)="","CADASTRAR GERENTE",VLOOKUP(B455,AUXILIAR!$O$2:$P$50,2,FALSE)),"CADASTRAR GERENTE"))</f>
        <v/>
      </c>
      <c r="P455" s="3" t="str">
        <f t="shared" si="24"/>
        <v/>
      </c>
    </row>
    <row r="456" spans="1:16" x14ac:dyDescent="0.25">
      <c r="A456" s="4"/>
      <c r="J456" s="3" t="str">
        <f t="shared" si="22"/>
        <v/>
      </c>
      <c r="K456" s="3" t="str">
        <f t="shared" si="23"/>
        <v/>
      </c>
      <c r="O456" s="3" t="str">
        <f>IF(B456="","",IFERROR(IF(VLOOKUP(B456,AUXILIAR!$O$2:$P$50,2,FALSE)="","CADASTRAR GERENTE",VLOOKUP(B456,AUXILIAR!$O$2:$P$50,2,FALSE)),"CADASTRAR GERENTE"))</f>
        <v/>
      </c>
      <c r="P456" s="3" t="str">
        <f t="shared" si="24"/>
        <v/>
      </c>
    </row>
    <row r="457" spans="1:16" x14ac:dyDescent="0.25">
      <c r="A457" s="4"/>
      <c r="J457" s="3" t="str">
        <f t="shared" si="22"/>
        <v/>
      </c>
      <c r="K457" s="3" t="str">
        <f t="shared" si="23"/>
        <v/>
      </c>
      <c r="O457" s="3" t="str">
        <f>IF(B457="","",IFERROR(IF(VLOOKUP(B457,AUXILIAR!$O$2:$P$50,2,FALSE)="","CADASTRAR GERENTE",VLOOKUP(B457,AUXILIAR!$O$2:$P$50,2,FALSE)),"CADASTRAR GERENTE"))</f>
        <v/>
      </c>
      <c r="P457" s="3" t="str">
        <f t="shared" si="24"/>
        <v/>
      </c>
    </row>
    <row r="458" spans="1:16" x14ac:dyDescent="0.25">
      <c r="A458" s="4"/>
      <c r="J458" s="3" t="str">
        <f t="shared" si="22"/>
        <v/>
      </c>
      <c r="K458" s="3" t="str">
        <f t="shared" si="23"/>
        <v/>
      </c>
      <c r="O458" s="3" t="str">
        <f>IF(B458="","",IFERROR(IF(VLOOKUP(B458,AUXILIAR!$O$2:$P$50,2,FALSE)="","CADASTRAR GERENTE",VLOOKUP(B458,AUXILIAR!$O$2:$P$50,2,FALSE)),"CADASTRAR GERENTE"))</f>
        <v/>
      </c>
      <c r="P458" s="3" t="str">
        <f t="shared" si="24"/>
        <v/>
      </c>
    </row>
    <row r="459" spans="1:16" x14ac:dyDescent="0.25">
      <c r="A459" s="4"/>
      <c r="J459" s="3" t="str">
        <f t="shared" si="22"/>
        <v/>
      </c>
      <c r="K459" s="3" t="str">
        <f t="shared" si="23"/>
        <v/>
      </c>
      <c r="O459" s="3" t="str">
        <f>IF(B459="","",IFERROR(IF(VLOOKUP(B459,AUXILIAR!$O$2:$P$50,2,FALSE)="","CADASTRAR GERENTE",VLOOKUP(B459,AUXILIAR!$O$2:$P$50,2,FALSE)),"CADASTRAR GERENTE"))</f>
        <v/>
      </c>
      <c r="P459" s="3" t="str">
        <f t="shared" si="24"/>
        <v/>
      </c>
    </row>
    <row r="460" spans="1:16" x14ac:dyDescent="0.25">
      <c r="A460" s="4"/>
      <c r="J460" s="3" t="str">
        <f t="shared" si="22"/>
        <v/>
      </c>
      <c r="K460" s="3" t="str">
        <f t="shared" si="23"/>
        <v/>
      </c>
      <c r="O460" s="3" t="str">
        <f>IF(B460="","",IFERROR(IF(VLOOKUP(B460,AUXILIAR!$O$2:$P$50,2,FALSE)="","CADASTRAR GERENTE",VLOOKUP(B460,AUXILIAR!$O$2:$P$50,2,FALSE)),"CADASTRAR GERENTE"))</f>
        <v/>
      </c>
      <c r="P460" s="3" t="str">
        <f t="shared" si="24"/>
        <v/>
      </c>
    </row>
    <row r="461" spans="1:16" x14ac:dyDescent="0.25">
      <c r="A461" s="4"/>
      <c r="J461" s="3" t="str">
        <f t="shared" si="22"/>
        <v/>
      </c>
      <c r="K461" s="3" t="str">
        <f t="shared" si="23"/>
        <v/>
      </c>
      <c r="O461" s="3" t="str">
        <f>IF(B461="","",IFERROR(IF(VLOOKUP(B461,AUXILIAR!$O$2:$P$50,2,FALSE)="","CADASTRAR GERENTE",VLOOKUP(B461,AUXILIAR!$O$2:$P$50,2,FALSE)),"CADASTRAR GERENTE"))</f>
        <v/>
      </c>
      <c r="P461" s="3" t="str">
        <f t="shared" si="24"/>
        <v/>
      </c>
    </row>
    <row r="462" spans="1:16" x14ac:dyDescent="0.25">
      <c r="A462" s="4"/>
      <c r="J462" s="3" t="str">
        <f t="shared" si="22"/>
        <v/>
      </c>
      <c r="K462" s="3" t="str">
        <f t="shared" si="23"/>
        <v/>
      </c>
      <c r="O462" s="3" t="str">
        <f>IF(B462="","",IFERROR(IF(VLOOKUP(B462,AUXILIAR!$O$2:$P$50,2,FALSE)="","CADASTRAR GERENTE",VLOOKUP(B462,AUXILIAR!$O$2:$P$50,2,FALSE)),"CADASTRAR GERENTE"))</f>
        <v/>
      </c>
      <c r="P462" s="3" t="str">
        <f t="shared" si="24"/>
        <v/>
      </c>
    </row>
    <row r="463" spans="1:16" x14ac:dyDescent="0.25">
      <c r="A463" s="4"/>
      <c r="J463" s="3" t="str">
        <f t="shared" si="22"/>
        <v/>
      </c>
      <c r="K463" s="3" t="str">
        <f t="shared" si="23"/>
        <v/>
      </c>
      <c r="O463" s="3" t="str">
        <f>IF(B463="","",IFERROR(IF(VLOOKUP(B463,AUXILIAR!$O$2:$P$50,2,FALSE)="","CADASTRAR GERENTE",VLOOKUP(B463,AUXILIAR!$O$2:$P$50,2,FALSE)),"CADASTRAR GERENTE"))</f>
        <v/>
      </c>
      <c r="P463" s="3" t="str">
        <f t="shared" si="24"/>
        <v/>
      </c>
    </row>
    <row r="464" spans="1:16" x14ac:dyDescent="0.25">
      <c r="A464" s="4"/>
      <c r="J464" s="3" t="str">
        <f t="shared" si="22"/>
        <v/>
      </c>
      <c r="K464" s="3" t="str">
        <f t="shared" si="23"/>
        <v/>
      </c>
      <c r="O464" s="3" t="str">
        <f>IF(B464="","",IFERROR(IF(VLOOKUP(B464,AUXILIAR!$O$2:$P$50,2,FALSE)="","CADASTRAR GERENTE",VLOOKUP(B464,AUXILIAR!$O$2:$P$50,2,FALSE)),"CADASTRAR GERENTE"))</f>
        <v/>
      </c>
      <c r="P464" s="3" t="str">
        <f t="shared" si="24"/>
        <v/>
      </c>
    </row>
    <row r="465" spans="1:16" x14ac:dyDescent="0.25">
      <c r="A465" s="4"/>
      <c r="J465" s="3" t="str">
        <f t="shared" si="22"/>
        <v/>
      </c>
      <c r="K465" s="3" t="str">
        <f t="shared" si="23"/>
        <v/>
      </c>
      <c r="O465" s="3" t="str">
        <f>IF(B465="","",IFERROR(IF(VLOOKUP(B465,AUXILIAR!$O$2:$P$50,2,FALSE)="","CADASTRAR GERENTE",VLOOKUP(B465,AUXILIAR!$O$2:$P$50,2,FALSE)),"CADASTRAR GERENTE"))</f>
        <v/>
      </c>
      <c r="P465" s="3" t="str">
        <f t="shared" si="24"/>
        <v/>
      </c>
    </row>
    <row r="466" spans="1:16" x14ac:dyDescent="0.25">
      <c r="A466" s="4"/>
      <c r="J466" s="3" t="str">
        <f t="shared" si="22"/>
        <v/>
      </c>
      <c r="K466" s="3" t="str">
        <f t="shared" si="23"/>
        <v/>
      </c>
      <c r="O466" s="3" t="str">
        <f>IF(B466="","",IFERROR(IF(VLOOKUP(B466,AUXILIAR!$O$2:$P$50,2,FALSE)="","CADASTRAR GERENTE",VLOOKUP(B466,AUXILIAR!$O$2:$P$50,2,FALSE)),"CADASTRAR GERENTE"))</f>
        <v/>
      </c>
      <c r="P466" s="3" t="str">
        <f t="shared" si="24"/>
        <v/>
      </c>
    </row>
    <row r="467" spans="1:16" x14ac:dyDescent="0.25">
      <c r="A467" s="4"/>
      <c r="J467" s="3" t="str">
        <f t="shared" si="22"/>
        <v/>
      </c>
      <c r="K467" s="3" t="str">
        <f t="shared" si="23"/>
        <v/>
      </c>
      <c r="O467" s="3" t="str">
        <f>IF(B467="","",IFERROR(IF(VLOOKUP(B467,AUXILIAR!$O$2:$P$50,2,FALSE)="","CADASTRAR GERENTE",VLOOKUP(B467,AUXILIAR!$O$2:$P$50,2,FALSE)),"CADASTRAR GERENTE"))</f>
        <v/>
      </c>
      <c r="P467" s="3" t="str">
        <f t="shared" si="24"/>
        <v/>
      </c>
    </row>
    <row r="468" spans="1:16" x14ac:dyDescent="0.25">
      <c r="A468" s="4"/>
      <c r="J468" s="3" t="str">
        <f t="shared" si="22"/>
        <v/>
      </c>
      <c r="K468" s="3" t="str">
        <f t="shared" si="23"/>
        <v/>
      </c>
      <c r="O468" s="3" t="str">
        <f>IF(B468="","",IFERROR(IF(VLOOKUP(B468,AUXILIAR!$O$2:$P$50,2,FALSE)="","CADASTRAR GERENTE",VLOOKUP(B468,AUXILIAR!$O$2:$P$50,2,FALSE)),"CADASTRAR GERENTE"))</f>
        <v/>
      </c>
      <c r="P468" s="3" t="str">
        <f t="shared" si="24"/>
        <v/>
      </c>
    </row>
    <row r="469" spans="1:16" x14ac:dyDescent="0.25">
      <c r="A469" s="4"/>
      <c r="J469" s="3" t="str">
        <f t="shared" si="22"/>
        <v/>
      </c>
      <c r="K469" s="3" t="str">
        <f t="shared" si="23"/>
        <v/>
      </c>
      <c r="O469" s="3" t="str">
        <f>IF(B469="","",IFERROR(IF(VLOOKUP(B469,AUXILIAR!$O$2:$P$50,2,FALSE)="","CADASTRAR GERENTE",VLOOKUP(B469,AUXILIAR!$O$2:$P$50,2,FALSE)),"CADASTRAR GERENTE"))</f>
        <v/>
      </c>
      <c r="P469" s="3" t="str">
        <f t="shared" si="24"/>
        <v/>
      </c>
    </row>
    <row r="470" spans="1:16" x14ac:dyDescent="0.25">
      <c r="A470" s="4"/>
      <c r="J470" s="3" t="str">
        <f t="shared" si="22"/>
        <v/>
      </c>
      <c r="K470" s="3" t="str">
        <f t="shared" si="23"/>
        <v/>
      </c>
      <c r="O470" s="3" t="str">
        <f>IF(B470="","",IFERROR(IF(VLOOKUP(B470,AUXILIAR!$O$2:$P$50,2,FALSE)="","CADASTRAR GERENTE",VLOOKUP(B470,AUXILIAR!$O$2:$P$50,2,FALSE)),"CADASTRAR GERENTE"))</f>
        <v/>
      </c>
      <c r="P470" s="3" t="str">
        <f t="shared" si="24"/>
        <v/>
      </c>
    </row>
    <row r="471" spans="1:16" x14ac:dyDescent="0.25">
      <c r="A471" s="4"/>
      <c r="J471" s="3" t="str">
        <f t="shared" si="22"/>
        <v/>
      </c>
      <c r="K471" s="3" t="str">
        <f t="shared" si="23"/>
        <v/>
      </c>
      <c r="O471" s="3" t="str">
        <f>IF(B471="","",IFERROR(IF(VLOOKUP(B471,AUXILIAR!$O$2:$P$50,2,FALSE)="","CADASTRAR GERENTE",VLOOKUP(B471,AUXILIAR!$O$2:$P$50,2,FALSE)),"CADASTRAR GERENTE"))</f>
        <v/>
      </c>
      <c r="P471" s="3" t="str">
        <f t="shared" si="24"/>
        <v/>
      </c>
    </row>
    <row r="472" spans="1:16" x14ac:dyDescent="0.25">
      <c r="A472" s="4"/>
      <c r="J472" s="3" t="str">
        <f t="shared" si="22"/>
        <v/>
      </c>
      <c r="K472" s="3" t="str">
        <f t="shared" si="23"/>
        <v/>
      </c>
      <c r="O472" s="3" t="str">
        <f>IF(B472="","",IFERROR(IF(VLOOKUP(B472,AUXILIAR!$O$2:$P$50,2,FALSE)="","CADASTRAR GERENTE",VLOOKUP(B472,AUXILIAR!$O$2:$P$50,2,FALSE)),"CADASTRAR GERENTE"))</f>
        <v/>
      </c>
      <c r="P472" s="3" t="str">
        <f t="shared" si="24"/>
        <v/>
      </c>
    </row>
    <row r="473" spans="1:16" x14ac:dyDescent="0.25">
      <c r="A473" s="4"/>
      <c r="J473" s="3" t="str">
        <f t="shared" si="22"/>
        <v/>
      </c>
      <c r="K473" s="3" t="str">
        <f t="shared" si="23"/>
        <v/>
      </c>
      <c r="O473" s="3" t="str">
        <f>IF(B473="","",IFERROR(IF(VLOOKUP(B473,AUXILIAR!$O$2:$P$50,2,FALSE)="","CADASTRAR GERENTE",VLOOKUP(B473,AUXILIAR!$O$2:$P$50,2,FALSE)),"CADASTRAR GERENTE"))</f>
        <v/>
      </c>
      <c r="P473" s="3" t="str">
        <f t="shared" si="24"/>
        <v/>
      </c>
    </row>
    <row r="474" spans="1:16" x14ac:dyDescent="0.25">
      <c r="A474" s="4"/>
      <c r="J474" s="3" t="str">
        <f t="shared" si="22"/>
        <v/>
      </c>
      <c r="K474" s="3" t="str">
        <f t="shared" si="23"/>
        <v/>
      </c>
      <c r="O474" s="3" t="str">
        <f>IF(B474="","",IFERROR(IF(VLOOKUP(B474,AUXILIAR!$O$2:$P$50,2,FALSE)="","CADASTRAR GERENTE",VLOOKUP(B474,AUXILIAR!$O$2:$P$50,2,FALSE)),"CADASTRAR GERENTE"))</f>
        <v/>
      </c>
      <c r="P474" s="3" t="str">
        <f t="shared" si="24"/>
        <v/>
      </c>
    </row>
    <row r="475" spans="1:16" x14ac:dyDescent="0.25">
      <c r="A475" s="4"/>
      <c r="J475" s="3" t="str">
        <f t="shared" si="22"/>
        <v/>
      </c>
      <c r="K475" s="3" t="str">
        <f t="shared" si="23"/>
        <v/>
      </c>
      <c r="O475" s="3" t="str">
        <f>IF(B475="","",IFERROR(IF(VLOOKUP(B475,AUXILIAR!$O$2:$P$50,2,FALSE)="","CADASTRAR GERENTE",VLOOKUP(B475,AUXILIAR!$O$2:$P$50,2,FALSE)),"CADASTRAR GERENTE"))</f>
        <v/>
      </c>
      <c r="P475" s="3" t="str">
        <f t="shared" si="24"/>
        <v/>
      </c>
    </row>
    <row r="476" spans="1:16" x14ac:dyDescent="0.25">
      <c r="A476" s="4"/>
      <c r="J476" s="3" t="str">
        <f t="shared" si="22"/>
        <v/>
      </c>
      <c r="K476" s="3" t="str">
        <f t="shared" si="23"/>
        <v/>
      </c>
      <c r="O476" s="3" t="str">
        <f>IF(B476="","",IFERROR(IF(VLOOKUP(B476,AUXILIAR!$O$2:$P$50,2,FALSE)="","CADASTRAR GERENTE",VLOOKUP(B476,AUXILIAR!$O$2:$P$50,2,FALSE)),"CADASTRAR GERENTE"))</f>
        <v/>
      </c>
      <c r="P476" s="3" t="str">
        <f t="shared" si="24"/>
        <v/>
      </c>
    </row>
    <row r="477" spans="1:16" x14ac:dyDescent="0.25">
      <c r="A477" s="4"/>
      <c r="J477" s="3" t="str">
        <f t="shared" si="22"/>
        <v/>
      </c>
      <c r="K477" s="3" t="str">
        <f t="shared" si="23"/>
        <v/>
      </c>
      <c r="O477" s="3" t="str">
        <f>IF(B477="","",IFERROR(IF(VLOOKUP(B477,AUXILIAR!$O$2:$P$50,2,FALSE)="","CADASTRAR GERENTE",VLOOKUP(B477,AUXILIAR!$O$2:$P$50,2,FALSE)),"CADASTRAR GERENTE"))</f>
        <v/>
      </c>
      <c r="P477" s="3" t="str">
        <f t="shared" si="24"/>
        <v/>
      </c>
    </row>
    <row r="478" spans="1:16" x14ac:dyDescent="0.25">
      <c r="A478" s="4"/>
      <c r="J478" s="3" t="str">
        <f t="shared" si="22"/>
        <v/>
      </c>
      <c r="K478" s="3" t="str">
        <f t="shared" si="23"/>
        <v/>
      </c>
      <c r="O478" s="3" t="str">
        <f>IF(B478="","",IFERROR(IF(VLOOKUP(B478,AUXILIAR!$O$2:$P$50,2,FALSE)="","CADASTRAR GERENTE",VLOOKUP(B478,AUXILIAR!$O$2:$P$50,2,FALSE)),"CADASTRAR GERENTE"))</f>
        <v/>
      </c>
      <c r="P478" s="3" t="str">
        <f t="shared" si="24"/>
        <v/>
      </c>
    </row>
    <row r="479" spans="1:16" x14ac:dyDescent="0.25">
      <c r="A479" s="4"/>
      <c r="J479" s="3" t="str">
        <f t="shared" si="22"/>
        <v/>
      </c>
      <c r="K479" s="3" t="str">
        <f t="shared" si="23"/>
        <v/>
      </c>
      <c r="O479" s="3" t="str">
        <f>IF(B479="","",IFERROR(IF(VLOOKUP(B479,AUXILIAR!$O$2:$P$50,2,FALSE)="","CADASTRAR GERENTE",VLOOKUP(B479,AUXILIAR!$O$2:$P$50,2,FALSE)),"CADASTRAR GERENTE"))</f>
        <v/>
      </c>
      <c r="P479" s="3" t="str">
        <f t="shared" si="24"/>
        <v/>
      </c>
    </row>
    <row r="480" spans="1:16" x14ac:dyDescent="0.25">
      <c r="A480" s="4"/>
      <c r="J480" s="3" t="str">
        <f t="shared" si="22"/>
        <v/>
      </c>
      <c r="K480" s="3" t="str">
        <f t="shared" si="23"/>
        <v/>
      </c>
      <c r="O480" s="3" t="str">
        <f>IF(B480="","",IFERROR(IF(VLOOKUP(B480,AUXILIAR!$O$2:$P$50,2,FALSE)="","CADASTRAR GERENTE",VLOOKUP(B480,AUXILIAR!$O$2:$P$50,2,FALSE)),"CADASTRAR GERENTE"))</f>
        <v/>
      </c>
      <c r="P480" s="3" t="str">
        <f t="shared" si="24"/>
        <v/>
      </c>
    </row>
    <row r="481" spans="1:16" x14ac:dyDescent="0.25">
      <c r="A481" s="4"/>
      <c r="J481" s="3" t="str">
        <f t="shared" si="22"/>
        <v/>
      </c>
      <c r="K481" s="3" t="str">
        <f t="shared" si="23"/>
        <v/>
      </c>
      <c r="O481" s="3" t="str">
        <f>IF(B481="","",IFERROR(IF(VLOOKUP(B481,AUXILIAR!$O$2:$P$50,2,FALSE)="","CADASTRAR GERENTE",VLOOKUP(B481,AUXILIAR!$O$2:$P$50,2,FALSE)),"CADASTRAR GERENTE"))</f>
        <v/>
      </c>
      <c r="P481" s="3" t="str">
        <f t="shared" si="24"/>
        <v/>
      </c>
    </row>
    <row r="482" spans="1:16" x14ac:dyDescent="0.25">
      <c r="A482" s="4"/>
      <c r="J482" s="3" t="str">
        <f t="shared" si="22"/>
        <v/>
      </c>
      <c r="K482" s="3" t="str">
        <f t="shared" si="23"/>
        <v/>
      </c>
      <c r="O482" s="3" t="str">
        <f>IF(B482="","",IFERROR(IF(VLOOKUP(B482,AUXILIAR!$O$2:$P$50,2,FALSE)="","CADASTRAR GERENTE",VLOOKUP(B482,AUXILIAR!$O$2:$P$50,2,FALSE)),"CADASTRAR GERENTE"))</f>
        <v/>
      </c>
      <c r="P482" s="3" t="str">
        <f t="shared" si="24"/>
        <v/>
      </c>
    </row>
    <row r="483" spans="1:16" x14ac:dyDescent="0.25">
      <c r="A483" s="4"/>
      <c r="J483" s="3" t="str">
        <f t="shared" si="22"/>
        <v/>
      </c>
      <c r="K483" s="3" t="str">
        <f t="shared" si="23"/>
        <v/>
      </c>
      <c r="O483" s="3" t="str">
        <f>IF(B483="","",IFERROR(IF(VLOOKUP(B483,AUXILIAR!$O$2:$P$50,2,FALSE)="","CADASTRAR GERENTE",VLOOKUP(B483,AUXILIAR!$O$2:$P$50,2,FALSE)),"CADASTRAR GERENTE"))</f>
        <v/>
      </c>
      <c r="P483" s="3" t="str">
        <f t="shared" si="24"/>
        <v/>
      </c>
    </row>
    <row r="484" spans="1:16" x14ac:dyDescent="0.25">
      <c r="A484" s="4"/>
      <c r="J484" s="3" t="str">
        <f t="shared" si="22"/>
        <v/>
      </c>
      <c r="K484" s="3" t="str">
        <f t="shared" si="23"/>
        <v/>
      </c>
      <c r="O484" s="3" t="str">
        <f>IF(B484="","",IFERROR(IF(VLOOKUP(B484,AUXILIAR!$O$2:$P$50,2,FALSE)="","CADASTRAR GERENTE",VLOOKUP(B484,AUXILIAR!$O$2:$P$50,2,FALSE)),"CADASTRAR GERENTE"))</f>
        <v/>
      </c>
      <c r="P484" s="3" t="str">
        <f t="shared" si="24"/>
        <v/>
      </c>
    </row>
    <row r="485" spans="1:16" x14ac:dyDescent="0.25">
      <c r="A485" s="4"/>
      <c r="J485" s="3" t="str">
        <f t="shared" si="22"/>
        <v/>
      </c>
      <c r="K485" s="3" t="str">
        <f t="shared" si="23"/>
        <v/>
      </c>
      <c r="O485" s="3" t="str">
        <f>IF(B485="","",IFERROR(IF(VLOOKUP(B485,AUXILIAR!$O$2:$P$50,2,FALSE)="","CADASTRAR GERENTE",VLOOKUP(B485,AUXILIAR!$O$2:$P$50,2,FALSE)),"CADASTRAR GERENTE"))</f>
        <v/>
      </c>
      <c r="P485" s="3" t="str">
        <f t="shared" si="24"/>
        <v/>
      </c>
    </row>
    <row r="486" spans="1:16" x14ac:dyDescent="0.25">
      <c r="A486" s="4"/>
      <c r="J486" s="3" t="str">
        <f t="shared" si="22"/>
        <v/>
      </c>
      <c r="K486" s="3" t="str">
        <f t="shared" si="23"/>
        <v/>
      </c>
      <c r="O486" s="3" t="str">
        <f>IF(B486="","",IFERROR(IF(VLOOKUP(B486,AUXILIAR!$O$2:$P$50,2,FALSE)="","CADASTRAR GERENTE",VLOOKUP(B486,AUXILIAR!$O$2:$P$50,2,FALSE)),"CADASTRAR GERENTE"))</f>
        <v/>
      </c>
      <c r="P486" s="3" t="str">
        <f t="shared" si="24"/>
        <v/>
      </c>
    </row>
    <row r="487" spans="1:16" x14ac:dyDescent="0.25">
      <c r="A487" s="4"/>
      <c r="J487" s="3" t="str">
        <f t="shared" si="22"/>
        <v/>
      </c>
      <c r="K487" s="3" t="str">
        <f t="shared" si="23"/>
        <v/>
      </c>
      <c r="O487" s="3" t="str">
        <f>IF(B487="","",IFERROR(IF(VLOOKUP(B487,AUXILIAR!$O$2:$P$50,2,FALSE)="","CADASTRAR GERENTE",VLOOKUP(B487,AUXILIAR!$O$2:$P$50,2,FALSE)),"CADASTRAR GERENTE"))</f>
        <v/>
      </c>
      <c r="P487" s="3" t="str">
        <f t="shared" si="24"/>
        <v/>
      </c>
    </row>
    <row r="488" spans="1:16" x14ac:dyDescent="0.25">
      <c r="A488" s="4"/>
      <c r="J488" s="3" t="str">
        <f t="shared" si="22"/>
        <v/>
      </c>
      <c r="K488" s="3" t="str">
        <f t="shared" si="23"/>
        <v/>
      </c>
      <c r="O488" s="3" t="str">
        <f>IF(B488="","",IFERROR(IF(VLOOKUP(B488,AUXILIAR!$O$2:$P$50,2,FALSE)="","CADASTRAR GERENTE",VLOOKUP(B488,AUXILIAR!$O$2:$P$50,2,FALSE)),"CADASTRAR GERENTE"))</f>
        <v/>
      </c>
      <c r="P488" s="3" t="str">
        <f t="shared" si="24"/>
        <v/>
      </c>
    </row>
    <row r="489" spans="1:16" x14ac:dyDescent="0.25">
      <c r="A489" s="4"/>
      <c r="J489" s="3" t="str">
        <f t="shared" si="22"/>
        <v/>
      </c>
      <c r="K489" s="3" t="str">
        <f t="shared" si="23"/>
        <v/>
      </c>
      <c r="O489" s="3" t="str">
        <f>IF(B489="","",IFERROR(IF(VLOOKUP(B489,AUXILIAR!$O$2:$P$50,2,FALSE)="","CADASTRAR GERENTE",VLOOKUP(B489,AUXILIAR!$O$2:$P$50,2,FALSE)),"CADASTRAR GERENTE"))</f>
        <v/>
      </c>
      <c r="P489" s="3" t="str">
        <f t="shared" si="24"/>
        <v/>
      </c>
    </row>
    <row r="490" spans="1:16" x14ac:dyDescent="0.25">
      <c r="A490" s="4"/>
      <c r="J490" s="3" t="str">
        <f t="shared" si="22"/>
        <v/>
      </c>
      <c r="K490" s="3" t="str">
        <f t="shared" si="23"/>
        <v/>
      </c>
      <c r="O490" s="3" t="str">
        <f>IF(B490="","",IFERROR(IF(VLOOKUP(B490,AUXILIAR!$O$2:$P$50,2,FALSE)="","CADASTRAR GERENTE",VLOOKUP(B490,AUXILIAR!$O$2:$P$50,2,FALSE)),"CADASTRAR GERENTE"))</f>
        <v/>
      </c>
      <c r="P490" s="3" t="str">
        <f t="shared" si="24"/>
        <v/>
      </c>
    </row>
    <row r="491" spans="1:16" x14ac:dyDescent="0.25">
      <c r="A491" s="4"/>
      <c r="J491" s="3" t="str">
        <f t="shared" si="22"/>
        <v/>
      </c>
      <c r="K491" s="3" t="str">
        <f t="shared" si="23"/>
        <v/>
      </c>
      <c r="O491" s="3" t="str">
        <f>IF(B491="","",IFERROR(IF(VLOOKUP(B491,AUXILIAR!$O$2:$P$50,2,FALSE)="","CADASTRAR GERENTE",VLOOKUP(B491,AUXILIAR!$O$2:$P$50,2,FALSE)),"CADASTRAR GERENTE"))</f>
        <v/>
      </c>
      <c r="P491" s="3" t="str">
        <f t="shared" si="24"/>
        <v/>
      </c>
    </row>
    <row r="492" spans="1:16" x14ac:dyDescent="0.25">
      <c r="A492" s="4"/>
      <c r="J492" s="3" t="str">
        <f t="shared" si="22"/>
        <v/>
      </c>
      <c r="K492" s="3" t="str">
        <f t="shared" si="23"/>
        <v/>
      </c>
      <c r="O492" s="3" t="str">
        <f>IF(B492="","",IFERROR(IF(VLOOKUP(B492,AUXILIAR!$O$2:$P$50,2,FALSE)="","CADASTRAR GERENTE",VLOOKUP(B492,AUXILIAR!$O$2:$P$50,2,FALSE)),"CADASTRAR GERENTE"))</f>
        <v/>
      </c>
      <c r="P492" s="3" t="str">
        <f t="shared" si="24"/>
        <v/>
      </c>
    </row>
    <row r="493" spans="1:16" x14ac:dyDescent="0.25">
      <c r="A493" s="4"/>
      <c r="J493" s="3" t="str">
        <f t="shared" si="22"/>
        <v/>
      </c>
      <c r="K493" s="3" t="str">
        <f t="shared" si="23"/>
        <v/>
      </c>
      <c r="O493" s="3" t="str">
        <f>IF(B493="","",IFERROR(IF(VLOOKUP(B493,AUXILIAR!$O$2:$P$50,2,FALSE)="","CADASTRAR GERENTE",VLOOKUP(B493,AUXILIAR!$O$2:$P$50,2,FALSE)),"CADASTRAR GERENTE"))</f>
        <v/>
      </c>
      <c r="P493" s="3" t="str">
        <f t="shared" si="24"/>
        <v/>
      </c>
    </row>
    <row r="494" spans="1:16" x14ac:dyDescent="0.25">
      <c r="A494" s="4"/>
      <c r="J494" s="3" t="str">
        <f t="shared" si="22"/>
        <v/>
      </c>
      <c r="K494" s="3" t="str">
        <f t="shared" si="23"/>
        <v/>
      </c>
      <c r="O494" s="3" t="str">
        <f>IF(B494="","",IFERROR(IF(VLOOKUP(B494,AUXILIAR!$O$2:$P$50,2,FALSE)="","CADASTRAR GERENTE",VLOOKUP(B494,AUXILIAR!$O$2:$P$50,2,FALSE)),"CADASTRAR GERENTE"))</f>
        <v/>
      </c>
      <c r="P494" s="3" t="str">
        <f t="shared" si="24"/>
        <v/>
      </c>
    </row>
    <row r="495" spans="1:16" x14ac:dyDescent="0.25">
      <c r="A495" s="4"/>
      <c r="J495" s="3" t="str">
        <f t="shared" si="22"/>
        <v/>
      </c>
      <c r="K495" s="3" t="str">
        <f t="shared" si="23"/>
        <v/>
      </c>
      <c r="O495" s="3" t="str">
        <f>IF(B495="","",IFERROR(IF(VLOOKUP(B495,AUXILIAR!$O$2:$P$50,2,FALSE)="","CADASTRAR GERENTE",VLOOKUP(B495,AUXILIAR!$O$2:$P$50,2,FALSE)),"CADASTRAR GERENTE"))</f>
        <v/>
      </c>
      <c r="P495" s="3" t="str">
        <f t="shared" si="24"/>
        <v/>
      </c>
    </row>
    <row r="496" spans="1:16" x14ac:dyDescent="0.25">
      <c r="A496" s="4"/>
      <c r="J496" s="3" t="str">
        <f t="shared" si="22"/>
        <v/>
      </c>
      <c r="K496" s="3" t="str">
        <f t="shared" si="23"/>
        <v/>
      </c>
      <c r="O496" s="3" t="str">
        <f>IF(B496="","",IFERROR(IF(VLOOKUP(B496,AUXILIAR!$O$2:$P$50,2,FALSE)="","CADASTRAR GERENTE",VLOOKUP(B496,AUXILIAR!$O$2:$P$50,2,FALSE)),"CADASTRAR GERENTE"))</f>
        <v/>
      </c>
      <c r="P496" s="3" t="str">
        <f t="shared" si="24"/>
        <v/>
      </c>
    </row>
    <row r="497" spans="1:16" x14ac:dyDescent="0.25">
      <c r="A497" s="4"/>
      <c r="J497" s="3" t="str">
        <f t="shared" si="22"/>
        <v/>
      </c>
      <c r="K497" s="3" t="str">
        <f t="shared" si="23"/>
        <v/>
      </c>
      <c r="O497" s="3" t="str">
        <f>IF(B497="","",IFERROR(IF(VLOOKUP(B497,AUXILIAR!$O$2:$P$50,2,FALSE)="","CADASTRAR GERENTE",VLOOKUP(B497,AUXILIAR!$O$2:$P$50,2,FALSE)),"CADASTRAR GERENTE"))</f>
        <v/>
      </c>
      <c r="P497" s="3" t="str">
        <f t="shared" si="24"/>
        <v/>
      </c>
    </row>
    <row r="498" spans="1:16" x14ac:dyDescent="0.25">
      <c r="A498" s="4"/>
      <c r="J498" s="3" t="str">
        <f t="shared" si="22"/>
        <v/>
      </c>
      <c r="K498" s="3" t="str">
        <f t="shared" si="23"/>
        <v/>
      </c>
      <c r="O498" s="3" t="str">
        <f>IF(B498="","",IFERROR(IF(VLOOKUP(B498,AUXILIAR!$O$2:$P$50,2,FALSE)="","CADASTRAR GERENTE",VLOOKUP(B498,AUXILIAR!$O$2:$P$50,2,FALSE)),"CADASTRAR GERENTE"))</f>
        <v/>
      </c>
      <c r="P498" s="3" t="str">
        <f t="shared" si="24"/>
        <v/>
      </c>
    </row>
    <row r="499" spans="1:16" x14ac:dyDescent="0.25">
      <c r="A499" s="4"/>
      <c r="J499" s="3" t="str">
        <f t="shared" si="22"/>
        <v/>
      </c>
      <c r="K499" s="3" t="str">
        <f t="shared" si="23"/>
        <v/>
      </c>
      <c r="O499" s="3" t="str">
        <f>IF(B499="","",IFERROR(IF(VLOOKUP(B499,AUXILIAR!$O$2:$P$50,2,FALSE)="","CADASTRAR GERENTE",VLOOKUP(B499,AUXILIAR!$O$2:$P$50,2,FALSE)),"CADASTRAR GERENTE"))</f>
        <v/>
      </c>
      <c r="P499" s="3" t="str">
        <f t="shared" si="24"/>
        <v/>
      </c>
    </row>
    <row r="500" spans="1:16" x14ac:dyDescent="0.25">
      <c r="A500" s="4"/>
      <c r="J500" s="3" t="str">
        <f t="shared" si="22"/>
        <v/>
      </c>
      <c r="K500" s="3" t="str">
        <f t="shared" si="23"/>
        <v/>
      </c>
      <c r="O500" s="3" t="str">
        <f>IF(B500="","",IFERROR(IF(VLOOKUP(B500,AUXILIAR!$O$2:$P$50,2,FALSE)="","CADASTRAR GERENTE",VLOOKUP(B500,AUXILIAR!$O$2:$P$50,2,FALSE)),"CADASTRAR GERENTE"))</f>
        <v/>
      </c>
      <c r="P500" s="3" t="str">
        <f t="shared" si="24"/>
        <v/>
      </c>
    </row>
    <row r="501" spans="1:16" x14ac:dyDescent="0.25">
      <c r="A501" s="4"/>
      <c r="J501" s="3" t="str">
        <f t="shared" si="22"/>
        <v/>
      </c>
      <c r="K501" s="3" t="str">
        <f t="shared" si="23"/>
        <v/>
      </c>
      <c r="O501" s="3" t="str">
        <f>IF(B501="","",IFERROR(IF(VLOOKUP(B501,AUXILIAR!$O$2:$P$50,2,FALSE)="","CADASTRAR GERENTE",VLOOKUP(B501,AUXILIAR!$O$2:$P$50,2,FALSE)),"CADASTRAR GERENTE"))</f>
        <v/>
      </c>
      <c r="P501" s="3" t="str">
        <f t="shared" si="24"/>
        <v/>
      </c>
    </row>
    <row r="502" spans="1:16" x14ac:dyDescent="0.25">
      <c r="A502" s="4"/>
      <c r="J502" s="3" t="str">
        <f t="shared" si="22"/>
        <v/>
      </c>
      <c r="K502" s="3" t="str">
        <f t="shared" si="23"/>
        <v/>
      </c>
      <c r="O502" s="3" t="str">
        <f>IF(B502="","",IFERROR(IF(VLOOKUP(B502,AUXILIAR!$O$2:$P$50,2,FALSE)="","CADASTRAR GERENTE",VLOOKUP(B502,AUXILIAR!$O$2:$P$50,2,FALSE)),"CADASTRAR GERENTE"))</f>
        <v/>
      </c>
      <c r="P502" s="3" t="str">
        <f t="shared" si="24"/>
        <v/>
      </c>
    </row>
    <row r="503" spans="1:16" x14ac:dyDescent="0.25">
      <c r="A503" s="4"/>
      <c r="J503" s="3" t="str">
        <f t="shared" si="22"/>
        <v/>
      </c>
      <c r="K503" s="3" t="str">
        <f t="shared" si="23"/>
        <v/>
      </c>
      <c r="O503" s="3" t="str">
        <f>IF(B503="","",IFERROR(IF(VLOOKUP(B503,AUXILIAR!$O$2:$P$50,2,FALSE)="","CADASTRAR GERENTE",VLOOKUP(B503,AUXILIAR!$O$2:$P$50,2,FALSE)),"CADASTRAR GERENTE"))</f>
        <v/>
      </c>
      <c r="P503" s="3" t="str">
        <f t="shared" si="24"/>
        <v/>
      </c>
    </row>
    <row r="504" spans="1:16" x14ac:dyDescent="0.25">
      <c r="A504" s="4"/>
      <c r="J504" s="3" t="str">
        <f t="shared" si="22"/>
        <v/>
      </c>
      <c r="K504" s="3" t="str">
        <f t="shared" ref="K504:K505" si="25">IF(C504="","",IF(AND(F504="SIM",I504="SIM",J504="SIM"),"OK","NOK"))</f>
        <v/>
      </c>
      <c r="O504" s="3" t="str">
        <f>IF(B504="","",IFERROR(IF(VLOOKUP(B504,AUXILIAR!$O$2:$P$50,2,FALSE)="","CADASTRAR GERENTE",VLOOKUP(B504,AUXILIAR!$O$2:$P$50,2,FALSE)),"CADASTRAR GERENTE"))</f>
        <v/>
      </c>
      <c r="P504" s="3" t="str">
        <f t="shared" si="24"/>
        <v/>
      </c>
    </row>
    <row r="505" spans="1:16" x14ac:dyDescent="0.25">
      <c r="A505" s="4"/>
      <c r="J505" s="3" t="str">
        <f t="shared" si="22"/>
        <v/>
      </c>
      <c r="K505" s="3" t="str">
        <f t="shared" si="25"/>
        <v/>
      </c>
      <c r="O505" s="3" t="str">
        <f>IF(B505="","",IFERROR(IF(VLOOKUP(B505,AUXILIAR!$O$2:$P$50,2,FALSE)="","CADASTRAR GERENTE",VLOOKUP(B505,AUXILIAR!$O$2:$P$50,2,FALSE)),"CADASTRAR GERENTE"))</f>
        <v/>
      </c>
      <c r="P505" s="3" t="str">
        <f t="shared" si="24"/>
        <v/>
      </c>
    </row>
    <row r="506" spans="1:16" x14ac:dyDescent="0.25">
      <c r="A506" s="4"/>
    </row>
    <row r="507" spans="1:16" x14ac:dyDescent="0.25">
      <c r="A507" s="4"/>
    </row>
    <row r="508" spans="1:16" x14ac:dyDescent="0.25">
      <c r="A508" s="4"/>
    </row>
    <row r="509" spans="1:16" x14ac:dyDescent="0.25">
      <c r="A509" s="4"/>
    </row>
    <row r="510" spans="1:16" x14ac:dyDescent="0.25">
      <c r="A510" s="4"/>
    </row>
    <row r="511" spans="1:16" x14ac:dyDescent="0.25">
      <c r="A511" s="4"/>
    </row>
    <row r="512" spans="1:16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</sheetData>
  <autoFilter ref="A5:P505" xr:uid="{00000000-0001-0000-0000-000000000000}"/>
  <mergeCells count="8">
    <mergeCell ref="R10:U10"/>
    <mergeCell ref="R9:U9"/>
    <mergeCell ref="R5:U5"/>
    <mergeCell ref="R8:U8"/>
    <mergeCell ref="A1:P2"/>
    <mergeCell ref="R7:U7"/>
    <mergeCell ref="R6:U6"/>
    <mergeCell ref="A3:P4"/>
  </mergeCells>
  <phoneticPr fontId="6" type="noConversion"/>
  <conditionalFormatting sqref="M22 M33:M34 M69 M71:M78 M86 M97:M98 M24:M26 M28:M31 M80:M83 M105:M113 M116:M121 K6:K505 M123:M128 M133:M134 M143:M149 M138:M139 M152 M154:M158 M160:M162 M165:M170">
    <cfRule type="cellIs" dxfId="280" priority="339" operator="equal">
      <formula>"OK"</formula>
    </cfRule>
    <cfRule type="cellIs" dxfId="279" priority="340" operator="equal">
      <formula>"NOK"</formula>
    </cfRule>
  </conditionalFormatting>
  <conditionalFormatting sqref="F6:J6 F24:I26 F7:I22 J7:J505 F28:I64 F66:I162 F165:I505">
    <cfRule type="cellIs" dxfId="278" priority="341" operator="equal">
      <formula>"SIM"</formula>
    </cfRule>
    <cfRule type="cellIs" dxfId="277" priority="342" operator="equal">
      <formula>"NÃO"</formula>
    </cfRule>
  </conditionalFormatting>
  <conditionalFormatting sqref="L57:L60 L97:L98 L24:L26 L6:L22 L35:L38 L45:L48 L69:L78 L80:L83 L101:L102 L105:L112 L114 L116:L130 L133:L134 L143:L149 L138:L139 L152 L154:L158 L160:L162 L165:L505">
    <cfRule type="cellIs" dxfId="276" priority="345" operator="notEqual">
      <formula>"OK"</formula>
    </cfRule>
  </conditionalFormatting>
  <conditionalFormatting sqref="M30:M31 M33:M34 M37:M40 M45 M57">
    <cfRule type="cellIs" dxfId="275" priority="331" operator="equal">
      <formula>"OK"</formula>
    </cfRule>
    <cfRule type="cellIs" dxfId="274" priority="332" operator="equal">
      <formula>"NOK"</formula>
    </cfRule>
  </conditionalFormatting>
  <conditionalFormatting sqref="M6:M19">
    <cfRule type="cellIs" dxfId="273" priority="337" operator="equal">
      <formula>"OK"</formula>
    </cfRule>
    <cfRule type="cellIs" dxfId="272" priority="338" operator="equal">
      <formula>"NOK"</formula>
    </cfRule>
  </conditionalFormatting>
  <conditionalFormatting sqref="M171:M184">
    <cfRule type="cellIs" dxfId="271" priority="333" operator="equal">
      <formula>"OK"</formula>
    </cfRule>
    <cfRule type="cellIs" dxfId="270" priority="334" operator="equal">
      <formula>"NOK"</formula>
    </cfRule>
  </conditionalFormatting>
  <conditionalFormatting sqref="M32">
    <cfRule type="cellIs" dxfId="269" priority="316" operator="equal">
      <formula>"OK"</formula>
    </cfRule>
    <cfRule type="cellIs" dxfId="268" priority="317" operator="equal">
      <formula>"NOK"</formula>
    </cfRule>
  </conditionalFormatting>
  <conditionalFormatting sqref="M32">
    <cfRule type="cellIs" dxfId="267" priority="314" operator="equal">
      <formula>"OK"</formula>
    </cfRule>
    <cfRule type="cellIs" dxfId="266" priority="315" operator="equal">
      <formula>"NOK"</formula>
    </cfRule>
  </conditionalFormatting>
  <conditionalFormatting sqref="M35">
    <cfRule type="cellIs" dxfId="265" priority="312" operator="equal">
      <formula>"OK"</formula>
    </cfRule>
    <cfRule type="cellIs" dxfId="264" priority="313" operator="equal">
      <formula>"NOK"</formula>
    </cfRule>
  </conditionalFormatting>
  <conditionalFormatting sqref="M35">
    <cfRule type="cellIs" dxfId="263" priority="310" operator="equal">
      <formula>"OK"</formula>
    </cfRule>
    <cfRule type="cellIs" dxfId="262" priority="311" operator="equal">
      <formula>"NOK"</formula>
    </cfRule>
  </conditionalFormatting>
  <conditionalFormatting sqref="M36">
    <cfRule type="cellIs" dxfId="261" priority="308" operator="equal">
      <formula>"OK"</formula>
    </cfRule>
    <cfRule type="cellIs" dxfId="260" priority="309" operator="equal">
      <formula>"NOK"</formula>
    </cfRule>
  </conditionalFormatting>
  <conditionalFormatting sqref="M36">
    <cfRule type="cellIs" dxfId="259" priority="306" operator="equal">
      <formula>"OK"</formula>
    </cfRule>
    <cfRule type="cellIs" dxfId="258" priority="307" operator="equal">
      <formula>"NOK"</formula>
    </cfRule>
  </conditionalFormatting>
  <conditionalFormatting sqref="M41">
    <cfRule type="cellIs" dxfId="257" priority="304" operator="equal">
      <formula>"OK"</formula>
    </cfRule>
    <cfRule type="cellIs" dxfId="256" priority="305" operator="equal">
      <formula>"NOK"</formula>
    </cfRule>
  </conditionalFormatting>
  <conditionalFormatting sqref="M41">
    <cfRule type="cellIs" dxfId="255" priority="302" operator="equal">
      <formula>"OK"</formula>
    </cfRule>
    <cfRule type="cellIs" dxfId="254" priority="303" operator="equal">
      <formula>"NOK"</formula>
    </cfRule>
  </conditionalFormatting>
  <conditionalFormatting sqref="M42">
    <cfRule type="cellIs" dxfId="253" priority="299" operator="equal">
      <formula>"OK"</formula>
    </cfRule>
    <cfRule type="cellIs" dxfId="252" priority="300" operator="equal">
      <formula>"NOK"</formula>
    </cfRule>
  </conditionalFormatting>
  <conditionalFormatting sqref="M42">
    <cfRule type="cellIs" dxfId="251" priority="297" operator="equal">
      <formula>"OK"</formula>
    </cfRule>
    <cfRule type="cellIs" dxfId="250" priority="298" operator="equal">
      <formula>"NOK"</formula>
    </cfRule>
  </conditionalFormatting>
  <conditionalFormatting sqref="L43">
    <cfRule type="cellIs" dxfId="249" priority="296" operator="notEqual">
      <formula>"OK"</formula>
    </cfRule>
  </conditionalFormatting>
  <conditionalFormatting sqref="M43">
    <cfRule type="cellIs" dxfId="248" priority="294" operator="equal">
      <formula>"OK"</formula>
    </cfRule>
    <cfRule type="cellIs" dxfId="247" priority="295" operator="equal">
      <formula>"NOK"</formula>
    </cfRule>
  </conditionalFormatting>
  <conditionalFormatting sqref="M43">
    <cfRule type="cellIs" dxfId="246" priority="292" operator="equal">
      <formula>"OK"</formula>
    </cfRule>
    <cfRule type="cellIs" dxfId="245" priority="293" operator="equal">
      <formula>"NOK"</formula>
    </cfRule>
  </conditionalFormatting>
  <conditionalFormatting sqref="M44">
    <cfRule type="cellIs" dxfId="244" priority="289" operator="equal">
      <formula>"OK"</formula>
    </cfRule>
    <cfRule type="cellIs" dxfId="243" priority="290" operator="equal">
      <formula>"NOK"</formula>
    </cfRule>
  </conditionalFormatting>
  <conditionalFormatting sqref="M44">
    <cfRule type="cellIs" dxfId="242" priority="287" operator="equal">
      <formula>"OK"</formula>
    </cfRule>
    <cfRule type="cellIs" dxfId="241" priority="288" operator="equal">
      <formula>"NOK"</formula>
    </cfRule>
  </conditionalFormatting>
  <conditionalFormatting sqref="M47">
    <cfRule type="cellIs" dxfId="240" priority="281" operator="equal">
      <formula>"OK"</formula>
    </cfRule>
    <cfRule type="cellIs" dxfId="239" priority="282" operator="equal">
      <formula>"NOK"</formula>
    </cfRule>
  </conditionalFormatting>
  <conditionalFormatting sqref="M47">
    <cfRule type="cellIs" dxfId="238" priority="279" operator="equal">
      <formula>"OK"</formula>
    </cfRule>
    <cfRule type="cellIs" dxfId="237" priority="280" operator="equal">
      <formula>"NOK"</formula>
    </cfRule>
  </conditionalFormatting>
  <conditionalFormatting sqref="M48">
    <cfRule type="cellIs" dxfId="236" priority="277" operator="equal">
      <formula>"OK"</formula>
    </cfRule>
    <cfRule type="cellIs" dxfId="235" priority="278" operator="equal">
      <formula>"NOK"</formula>
    </cfRule>
  </conditionalFormatting>
  <conditionalFormatting sqref="M48">
    <cfRule type="cellIs" dxfId="234" priority="275" operator="equal">
      <formula>"OK"</formula>
    </cfRule>
    <cfRule type="cellIs" dxfId="233" priority="276" operator="equal">
      <formula>"NOK"</formula>
    </cfRule>
  </conditionalFormatting>
  <conditionalFormatting sqref="L49">
    <cfRule type="cellIs" dxfId="232" priority="274" operator="notEqual">
      <formula>"OK"</formula>
    </cfRule>
  </conditionalFormatting>
  <conditionalFormatting sqref="M49">
    <cfRule type="cellIs" dxfId="231" priority="272" operator="equal">
      <formula>"OK"</formula>
    </cfRule>
    <cfRule type="cellIs" dxfId="230" priority="273" operator="equal">
      <formula>"NOK"</formula>
    </cfRule>
  </conditionalFormatting>
  <conditionalFormatting sqref="M49">
    <cfRule type="cellIs" dxfId="229" priority="270" operator="equal">
      <formula>"OK"</formula>
    </cfRule>
    <cfRule type="cellIs" dxfId="228" priority="271" operator="equal">
      <formula>"NOK"</formula>
    </cfRule>
  </conditionalFormatting>
  <conditionalFormatting sqref="L50">
    <cfRule type="cellIs" dxfId="227" priority="269" operator="notEqual">
      <formula>"OK"</formula>
    </cfRule>
  </conditionalFormatting>
  <conditionalFormatting sqref="M50">
    <cfRule type="cellIs" dxfId="226" priority="267" operator="equal">
      <formula>"OK"</formula>
    </cfRule>
    <cfRule type="cellIs" dxfId="225" priority="268" operator="equal">
      <formula>"NOK"</formula>
    </cfRule>
  </conditionalFormatting>
  <conditionalFormatting sqref="M50">
    <cfRule type="cellIs" dxfId="224" priority="265" operator="equal">
      <formula>"OK"</formula>
    </cfRule>
    <cfRule type="cellIs" dxfId="223" priority="266" operator="equal">
      <formula>"NOK"</formula>
    </cfRule>
  </conditionalFormatting>
  <conditionalFormatting sqref="L51">
    <cfRule type="cellIs" dxfId="222" priority="264" operator="notEqual">
      <formula>"OK"</formula>
    </cfRule>
  </conditionalFormatting>
  <conditionalFormatting sqref="M51">
    <cfRule type="cellIs" dxfId="221" priority="262" operator="equal">
      <formula>"OK"</formula>
    </cfRule>
    <cfRule type="cellIs" dxfId="220" priority="263" operator="equal">
      <formula>"NOK"</formula>
    </cfRule>
  </conditionalFormatting>
  <conditionalFormatting sqref="M51">
    <cfRule type="cellIs" dxfId="219" priority="260" operator="equal">
      <formula>"OK"</formula>
    </cfRule>
    <cfRule type="cellIs" dxfId="218" priority="261" operator="equal">
      <formula>"NOK"</formula>
    </cfRule>
  </conditionalFormatting>
  <conditionalFormatting sqref="L52">
    <cfRule type="cellIs" dxfId="217" priority="259" operator="notEqual">
      <formula>"OK"</formula>
    </cfRule>
  </conditionalFormatting>
  <conditionalFormatting sqref="M52">
    <cfRule type="cellIs" dxfId="216" priority="257" operator="equal">
      <formula>"OK"</formula>
    </cfRule>
    <cfRule type="cellIs" dxfId="215" priority="258" operator="equal">
      <formula>"NOK"</formula>
    </cfRule>
  </conditionalFormatting>
  <conditionalFormatting sqref="M52">
    <cfRule type="cellIs" dxfId="214" priority="255" operator="equal">
      <formula>"OK"</formula>
    </cfRule>
    <cfRule type="cellIs" dxfId="213" priority="256" operator="equal">
      <formula>"NOK"</formula>
    </cfRule>
  </conditionalFormatting>
  <conditionalFormatting sqref="L53">
    <cfRule type="cellIs" dxfId="212" priority="254" operator="notEqual">
      <formula>"OK"</formula>
    </cfRule>
  </conditionalFormatting>
  <conditionalFormatting sqref="M53">
    <cfRule type="cellIs" dxfId="211" priority="252" operator="equal">
      <formula>"OK"</formula>
    </cfRule>
    <cfRule type="cellIs" dxfId="210" priority="253" operator="equal">
      <formula>"NOK"</formula>
    </cfRule>
  </conditionalFormatting>
  <conditionalFormatting sqref="M53">
    <cfRule type="cellIs" dxfId="209" priority="250" operator="equal">
      <formula>"OK"</formula>
    </cfRule>
    <cfRule type="cellIs" dxfId="208" priority="251" operator="equal">
      <formula>"NOK"</formula>
    </cfRule>
  </conditionalFormatting>
  <conditionalFormatting sqref="L54">
    <cfRule type="cellIs" dxfId="207" priority="249" operator="notEqual">
      <formula>"OK"</formula>
    </cfRule>
  </conditionalFormatting>
  <conditionalFormatting sqref="M54">
    <cfRule type="cellIs" dxfId="206" priority="247" operator="equal">
      <formula>"OK"</formula>
    </cfRule>
    <cfRule type="cellIs" dxfId="205" priority="248" operator="equal">
      <formula>"NOK"</formula>
    </cfRule>
  </conditionalFormatting>
  <conditionalFormatting sqref="M54">
    <cfRule type="cellIs" dxfId="204" priority="245" operator="equal">
      <formula>"OK"</formula>
    </cfRule>
    <cfRule type="cellIs" dxfId="203" priority="246" operator="equal">
      <formula>"NOK"</formula>
    </cfRule>
  </conditionalFormatting>
  <conditionalFormatting sqref="L55">
    <cfRule type="cellIs" dxfId="202" priority="244" operator="notEqual">
      <formula>"OK"</formula>
    </cfRule>
  </conditionalFormatting>
  <conditionalFormatting sqref="M55">
    <cfRule type="cellIs" dxfId="201" priority="242" operator="equal">
      <formula>"OK"</formula>
    </cfRule>
    <cfRule type="cellIs" dxfId="200" priority="243" operator="equal">
      <formula>"NOK"</formula>
    </cfRule>
  </conditionalFormatting>
  <conditionalFormatting sqref="M55">
    <cfRule type="cellIs" dxfId="199" priority="240" operator="equal">
      <formula>"OK"</formula>
    </cfRule>
    <cfRule type="cellIs" dxfId="198" priority="241" operator="equal">
      <formula>"NOK"</formula>
    </cfRule>
  </conditionalFormatting>
  <conditionalFormatting sqref="L56">
    <cfRule type="cellIs" dxfId="197" priority="239" operator="notEqual">
      <formula>"OK"</formula>
    </cfRule>
  </conditionalFormatting>
  <conditionalFormatting sqref="M61">
    <cfRule type="cellIs" dxfId="196" priority="232" operator="equal">
      <formula>"OK"</formula>
    </cfRule>
    <cfRule type="cellIs" dxfId="195" priority="233" operator="equal">
      <formula>"NOK"</formula>
    </cfRule>
  </conditionalFormatting>
  <conditionalFormatting sqref="M61">
    <cfRule type="cellIs" dxfId="194" priority="230" operator="equal">
      <formula>"OK"</formula>
    </cfRule>
    <cfRule type="cellIs" dxfId="193" priority="231" operator="equal">
      <formula>"NOK"</formula>
    </cfRule>
  </conditionalFormatting>
  <conditionalFormatting sqref="L62">
    <cfRule type="cellIs" dxfId="192" priority="229" operator="notEqual">
      <formula>"OK"</formula>
    </cfRule>
  </conditionalFormatting>
  <conditionalFormatting sqref="M62">
    <cfRule type="cellIs" dxfId="191" priority="227" operator="equal">
      <formula>"OK"</formula>
    </cfRule>
    <cfRule type="cellIs" dxfId="190" priority="228" operator="equal">
      <formula>"NOK"</formula>
    </cfRule>
  </conditionalFormatting>
  <conditionalFormatting sqref="M62">
    <cfRule type="cellIs" dxfId="189" priority="225" operator="equal">
      <formula>"OK"</formula>
    </cfRule>
    <cfRule type="cellIs" dxfId="188" priority="226" operator="equal">
      <formula>"NOK"</formula>
    </cfRule>
  </conditionalFormatting>
  <conditionalFormatting sqref="M63">
    <cfRule type="cellIs" dxfId="187" priority="222" operator="equal">
      <formula>"OK"</formula>
    </cfRule>
    <cfRule type="cellIs" dxfId="186" priority="223" operator="equal">
      <formula>"NOK"</formula>
    </cfRule>
  </conditionalFormatting>
  <conditionalFormatting sqref="M63">
    <cfRule type="cellIs" dxfId="185" priority="220" operator="equal">
      <formula>"OK"</formula>
    </cfRule>
    <cfRule type="cellIs" dxfId="184" priority="221" operator="equal">
      <formula>"NOK"</formula>
    </cfRule>
  </conditionalFormatting>
  <conditionalFormatting sqref="M64">
    <cfRule type="cellIs" dxfId="183" priority="217" operator="equal">
      <formula>"OK"</formula>
    </cfRule>
    <cfRule type="cellIs" dxfId="182" priority="218" operator="equal">
      <formula>"NOK"</formula>
    </cfRule>
  </conditionalFormatting>
  <conditionalFormatting sqref="M64">
    <cfRule type="cellIs" dxfId="181" priority="215" operator="equal">
      <formula>"OK"</formula>
    </cfRule>
    <cfRule type="cellIs" dxfId="180" priority="216" operator="equal">
      <formula>"NOK"</formula>
    </cfRule>
  </conditionalFormatting>
  <conditionalFormatting sqref="M68">
    <cfRule type="cellIs" dxfId="179" priority="212" operator="equal">
      <formula>"OK"</formula>
    </cfRule>
    <cfRule type="cellIs" dxfId="178" priority="213" operator="equal">
      <formula>"NOK"</formula>
    </cfRule>
  </conditionalFormatting>
  <conditionalFormatting sqref="M68">
    <cfRule type="cellIs" dxfId="177" priority="210" operator="equal">
      <formula>"OK"</formula>
    </cfRule>
    <cfRule type="cellIs" dxfId="176" priority="211" operator="equal">
      <formula>"NOK"</formula>
    </cfRule>
  </conditionalFormatting>
  <conditionalFormatting sqref="M67">
    <cfRule type="cellIs" dxfId="175" priority="207" operator="equal">
      <formula>"OK"</formula>
    </cfRule>
    <cfRule type="cellIs" dxfId="174" priority="208" operator="equal">
      <formula>"NOK"</formula>
    </cfRule>
  </conditionalFormatting>
  <conditionalFormatting sqref="M67">
    <cfRule type="cellIs" dxfId="173" priority="205" operator="equal">
      <formula>"OK"</formula>
    </cfRule>
    <cfRule type="cellIs" dxfId="172" priority="206" operator="equal">
      <formula>"NOK"</formula>
    </cfRule>
  </conditionalFormatting>
  <conditionalFormatting sqref="M66">
    <cfRule type="cellIs" dxfId="171" priority="202" operator="equal">
      <formula>"OK"</formula>
    </cfRule>
    <cfRule type="cellIs" dxfId="170" priority="203" operator="equal">
      <formula>"NOK"</formula>
    </cfRule>
  </conditionalFormatting>
  <conditionalFormatting sqref="M66">
    <cfRule type="cellIs" dxfId="169" priority="200" operator="equal">
      <formula>"OK"</formula>
    </cfRule>
    <cfRule type="cellIs" dxfId="168" priority="201" operator="equal">
      <formula>"NOK"</formula>
    </cfRule>
  </conditionalFormatting>
  <conditionalFormatting sqref="C1:C22 C24:C26 C28:C64 C66:C1048576">
    <cfRule type="duplicateValues" dxfId="9" priority="199"/>
  </conditionalFormatting>
  <conditionalFormatting sqref="M70">
    <cfRule type="cellIs" dxfId="167" priority="197" operator="equal">
      <formula>"OK"</formula>
    </cfRule>
    <cfRule type="cellIs" dxfId="166" priority="198" operator="equal">
      <formula>"NOK"</formula>
    </cfRule>
  </conditionalFormatting>
  <conditionalFormatting sqref="M70">
    <cfRule type="cellIs" dxfId="165" priority="195" operator="equal">
      <formula>"OK"</formula>
    </cfRule>
    <cfRule type="cellIs" dxfId="164" priority="196" operator="equal">
      <formula>"NOK"</formula>
    </cfRule>
  </conditionalFormatting>
  <conditionalFormatting sqref="M79">
    <cfRule type="cellIs" dxfId="163" priority="192" operator="equal">
      <formula>"OK"</formula>
    </cfRule>
    <cfRule type="cellIs" dxfId="162" priority="193" operator="equal">
      <formula>"NOK"</formula>
    </cfRule>
  </conditionalFormatting>
  <conditionalFormatting sqref="L79">
    <cfRule type="cellIs" dxfId="161" priority="194" operator="notEqual">
      <formula>"OK"</formula>
    </cfRule>
  </conditionalFormatting>
  <conditionalFormatting sqref="M84">
    <cfRule type="cellIs" dxfId="160" priority="189" operator="equal">
      <formula>"OK"</formula>
    </cfRule>
    <cfRule type="cellIs" dxfId="159" priority="190" operator="equal">
      <formula>"NOK"</formula>
    </cfRule>
  </conditionalFormatting>
  <conditionalFormatting sqref="M84">
    <cfRule type="cellIs" dxfId="158" priority="187" operator="equal">
      <formula>"OK"</formula>
    </cfRule>
    <cfRule type="cellIs" dxfId="157" priority="188" operator="equal">
      <formula>"NOK"</formula>
    </cfRule>
  </conditionalFormatting>
  <conditionalFormatting sqref="L85">
    <cfRule type="cellIs" dxfId="156" priority="186" operator="notEqual">
      <formula>"OK"</formula>
    </cfRule>
  </conditionalFormatting>
  <conditionalFormatting sqref="M87">
    <cfRule type="cellIs" dxfId="155" priority="179" operator="equal">
      <formula>"OK"</formula>
    </cfRule>
    <cfRule type="cellIs" dxfId="154" priority="180" operator="equal">
      <formula>"NOK"</formula>
    </cfRule>
  </conditionalFormatting>
  <conditionalFormatting sqref="M87">
    <cfRule type="cellIs" dxfId="153" priority="177" operator="equal">
      <formula>"OK"</formula>
    </cfRule>
    <cfRule type="cellIs" dxfId="152" priority="178" operator="equal">
      <formula>"NOK"</formula>
    </cfRule>
  </conditionalFormatting>
  <conditionalFormatting sqref="M89">
    <cfRule type="cellIs" dxfId="151" priority="169" operator="equal">
      <formula>"OK"</formula>
    </cfRule>
    <cfRule type="cellIs" dxfId="150" priority="170" operator="equal">
      <formula>"NOK"</formula>
    </cfRule>
  </conditionalFormatting>
  <conditionalFormatting sqref="M89">
    <cfRule type="cellIs" dxfId="149" priority="167" operator="equal">
      <formula>"OK"</formula>
    </cfRule>
    <cfRule type="cellIs" dxfId="148" priority="168" operator="equal">
      <formula>"NOK"</formula>
    </cfRule>
  </conditionalFormatting>
  <conditionalFormatting sqref="M90">
    <cfRule type="cellIs" dxfId="147" priority="164" operator="equal">
      <formula>"OK"</formula>
    </cfRule>
    <cfRule type="cellIs" dxfId="146" priority="165" operator="equal">
      <formula>"NOK"</formula>
    </cfRule>
  </conditionalFormatting>
  <conditionalFormatting sqref="M90">
    <cfRule type="cellIs" dxfId="145" priority="162" operator="equal">
      <formula>"OK"</formula>
    </cfRule>
    <cfRule type="cellIs" dxfId="144" priority="163" operator="equal">
      <formula>"NOK"</formula>
    </cfRule>
  </conditionalFormatting>
  <conditionalFormatting sqref="M91">
    <cfRule type="cellIs" dxfId="143" priority="159" operator="equal">
      <formula>"OK"</formula>
    </cfRule>
    <cfRule type="cellIs" dxfId="142" priority="160" operator="equal">
      <formula>"NOK"</formula>
    </cfRule>
  </conditionalFormatting>
  <conditionalFormatting sqref="M91">
    <cfRule type="cellIs" dxfId="141" priority="157" operator="equal">
      <formula>"OK"</formula>
    </cfRule>
    <cfRule type="cellIs" dxfId="140" priority="158" operator="equal">
      <formula>"NOK"</formula>
    </cfRule>
  </conditionalFormatting>
  <conditionalFormatting sqref="M20">
    <cfRule type="cellIs" dxfId="139" priority="150" operator="equal">
      <formula>"OK"</formula>
    </cfRule>
    <cfRule type="cellIs" dxfId="138" priority="151" operator="equal">
      <formula>"NOK"</formula>
    </cfRule>
  </conditionalFormatting>
  <conditionalFormatting sqref="M20">
    <cfRule type="cellIs" dxfId="137" priority="148" operator="equal">
      <formula>"OK"</formula>
    </cfRule>
    <cfRule type="cellIs" dxfId="136" priority="149" operator="equal">
      <formula>"NOK"</formula>
    </cfRule>
  </conditionalFormatting>
  <conditionalFormatting sqref="K23">
    <cfRule type="cellIs" dxfId="135" priority="143" operator="equal">
      <formula>"OK"</formula>
    </cfRule>
    <cfRule type="cellIs" dxfId="134" priority="144" operator="equal">
      <formula>"NOK"</formula>
    </cfRule>
  </conditionalFormatting>
  <conditionalFormatting sqref="C23">
    <cfRule type="duplicateValues" dxfId="133" priority="142"/>
  </conditionalFormatting>
  <conditionalFormatting sqref="F23:H23">
    <cfRule type="cellIs" dxfId="132" priority="140" operator="equal">
      <formula>"SIM"</formula>
    </cfRule>
    <cfRule type="cellIs" dxfId="131" priority="141" operator="equal">
      <formula>"NÃO"</formula>
    </cfRule>
  </conditionalFormatting>
  <conditionalFormatting sqref="M21">
    <cfRule type="cellIs" dxfId="130" priority="131" operator="equal">
      <formula>"OK"</formula>
    </cfRule>
    <cfRule type="cellIs" dxfId="129" priority="132" operator="equal">
      <formula>"NOK"</formula>
    </cfRule>
  </conditionalFormatting>
  <conditionalFormatting sqref="L23">
    <cfRule type="cellIs" dxfId="128" priority="139" operator="notEqual">
      <formula>"OK"</formula>
    </cfRule>
  </conditionalFormatting>
  <conditionalFormatting sqref="M23">
    <cfRule type="cellIs" dxfId="127" priority="137" operator="equal">
      <formula>"OK"</formula>
    </cfRule>
    <cfRule type="cellIs" dxfId="126" priority="138" operator="equal">
      <formula>"NOK"</formula>
    </cfRule>
  </conditionalFormatting>
  <conditionalFormatting sqref="M23">
    <cfRule type="cellIs" dxfId="125" priority="135" operator="equal">
      <formula>"OK"</formula>
    </cfRule>
    <cfRule type="cellIs" dxfId="124" priority="136" operator="equal">
      <formula>"NOK"</formula>
    </cfRule>
  </conditionalFormatting>
  <conditionalFormatting sqref="M21">
    <cfRule type="cellIs" dxfId="123" priority="133" operator="equal">
      <formula>"OK"</formula>
    </cfRule>
    <cfRule type="cellIs" dxfId="122" priority="134" operator="equal">
      <formula>"NOK"</formula>
    </cfRule>
  </conditionalFormatting>
  <conditionalFormatting sqref="K27">
    <cfRule type="cellIs" dxfId="121" priority="127" operator="equal">
      <formula>"OK"</formula>
    </cfRule>
    <cfRule type="cellIs" dxfId="120" priority="128" operator="equal">
      <formula>"NOK"</formula>
    </cfRule>
  </conditionalFormatting>
  <conditionalFormatting sqref="C27">
    <cfRule type="duplicateValues" dxfId="119" priority="126"/>
  </conditionalFormatting>
  <conditionalFormatting sqref="F27:H27">
    <cfRule type="cellIs" dxfId="118" priority="124" operator="equal">
      <formula>"SIM"</formula>
    </cfRule>
    <cfRule type="cellIs" dxfId="117" priority="125" operator="equal">
      <formula>"NÃO"</formula>
    </cfRule>
  </conditionalFormatting>
  <conditionalFormatting sqref="L27">
    <cfRule type="cellIs" dxfId="116" priority="123" operator="notEqual">
      <formula>"OK"</formula>
    </cfRule>
  </conditionalFormatting>
  <conditionalFormatting sqref="M27">
    <cfRule type="cellIs" dxfId="115" priority="121" operator="equal">
      <formula>"OK"</formula>
    </cfRule>
    <cfRule type="cellIs" dxfId="114" priority="122" operator="equal">
      <formula>"NOK"</formula>
    </cfRule>
  </conditionalFormatting>
  <conditionalFormatting sqref="M27">
    <cfRule type="cellIs" dxfId="113" priority="119" operator="equal">
      <formula>"OK"</formula>
    </cfRule>
    <cfRule type="cellIs" dxfId="112" priority="120" operator="equal">
      <formula>"NOK"</formula>
    </cfRule>
  </conditionalFormatting>
  <conditionalFormatting sqref="K65">
    <cfRule type="cellIs" dxfId="111" priority="115" operator="equal">
      <formula>"OK"</formula>
    </cfRule>
    <cfRule type="cellIs" dxfId="110" priority="116" operator="equal">
      <formula>"NOK"</formula>
    </cfRule>
  </conditionalFormatting>
  <conditionalFormatting sqref="L65">
    <cfRule type="cellIs" dxfId="109" priority="114" operator="notEqual">
      <formula>"OK"</formula>
    </cfRule>
  </conditionalFormatting>
  <conditionalFormatting sqref="C65">
    <cfRule type="duplicateValues" dxfId="108" priority="109"/>
  </conditionalFormatting>
  <conditionalFormatting sqref="F65:H65">
    <cfRule type="cellIs" dxfId="107" priority="107" operator="equal">
      <formula>"SIM"</formula>
    </cfRule>
    <cfRule type="cellIs" dxfId="106" priority="108" operator="equal">
      <formula>"NÃO"</formula>
    </cfRule>
  </conditionalFormatting>
  <conditionalFormatting sqref="M65">
    <cfRule type="cellIs" dxfId="105" priority="105" operator="equal">
      <formula>"OK"</formula>
    </cfRule>
    <cfRule type="cellIs" dxfId="104" priority="106" operator="equal">
      <formula>"NOK"</formula>
    </cfRule>
  </conditionalFormatting>
  <conditionalFormatting sqref="M93:M96">
    <cfRule type="cellIs" dxfId="103" priority="96" operator="equal">
      <formula>"OK"</formula>
    </cfRule>
    <cfRule type="cellIs" dxfId="102" priority="97" operator="equal">
      <formula>"NOK"</formula>
    </cfRule>
  </conditionalFormatting>
  <conditionalFormatting sqref="M93:M96">
    <cfRule type="cellIs" dxfId="101" priority="94" operator="equal">
      <formula>"OK"</formula>
    </cfRule>
    <cfRule type="cellIs" dxfId="100" priority="95" operator="equal">
      <formula>"NOK"</formula>
    </cfRule>
  </conditionalFormatting>
  <conditionalFormatting sqref="K1:K1048576">
    <cfRule type="cellIs" dxfId="99" priority="92" operator="equal">
      <formula>"NOK"</formula>
    </cfRule>
    <cfRule type="cellIs" dxfId="98" priority="93" operator="equal">
      <formula>"OK"</formula>
    </cfRule>
  </conditionalFormatting>
  <conditionalFormatting sqref="M88">
    <cfRule type="cellIs" dxfId="97" priority="88" operator="equal">
      <formula>"OK"</formula>
    </cfRule>
    <cfRule type="cellIs" dxfId="96" priority="89" operator="equal">
      <formula>"NOK"</formula>
    </cfRule>
  </conditionalFormatting>
  <conditionalFormatting sqref="M92">
    <cfRule type="cellIs" dxfId="95" priority="86" operator="equal">
      <formula>"OK"</formula>
    </cfRule>
    <cfRule type="cellIs" dxfId="94" priority="87" operator="equal">
      <formula>"NOK"</formula>
    </cfRule>
  </conditionalFormatting>
  <conditionalFormatting sqref="L88">
    <cfRule type="cellIs" dxfId="93" priority="85" operator="notEqual">
      <formula>"OK"</formula>
    </cfRule>
  </conditionalFormatting>
  <conditionalFormatting sqref="L92">
    <cfRule type="cellIs" dxfId="92" priority="84" operator="notEqual">
      <formula>"OK"</formula>
    </cfRule>
  </conditionalFormatting>
  <conditionalFormatting sqref="L99">
    <cfRule type="cellIs" dxfId="91" priority="83" operator="notEqual">
      <formula>"OK"</formula>
    </cfRule>
  </conditionalFormatting>
  <conditionalFormatting sqref="L100">
    <cfRule type="cellIs" dxfId="90" priority="82" operator="notEqual">
      <formula>"OK"</formula>
    </cfRule>
  </conditionalFormatting>
  <conditionalFormatting sqref="M99">
    <cfRule type="cellIs" dxfId="89" priority="80" operator="equal">
      <formula>"OK"</formula>
    </cfRule>
    <cfRule type="cellIs" dxfId="88" priority="81" operator="equal">
      <formula>"NOK"</formula>
    </cfRule>
  </conditionalFormatting>
  <conditionalFormatting sqref="M100">
    <cfRule type="cellIs" dxfId="87" priority="78" operator="equal">
      <formula>"OK"</formula>
    </cfRule>
    <cfRule type="cellIs" dxfId="86" priority="79" operator="equal">
      <formula>"NOK"</formula>
    </cfRule>
  </conditionalFormatting>
  <conditionalFormatting sqref="I65">
    <cfRule type="cellIs" dxfId="85" priority="76" operator="equal">
      <formula>"SIM"</formula>
    </cfRule>
    <cfRule type="cellIs" dxfId="84" priority="77" operator="equal">
      <formula>"NÃO"</formula>
    </cfRule>
  </conditionalFormatting>
  <conditionalFormatting sqref="M101">
    <cfRule type="cellIs" dxfId="83" priority="74" operator="equal">
      <formula>"OK"</formula>
    </cfRule>
    <cfRule type="cellIs" dxfId="82" priority="75" operator="equal">
      <formula>"NOK"</formula>
    </cfRule>
  </conditionalFormatting>
  <conditionalFormatting sqref="M101">
    <cfRule type="cellIs" dxfId="81" priority="72" operator="equal">
      <formula>"OK"</formula>
    </cfRule>
    <cfRule type="cellIs" dxfId="80" priority="73" operator="equal">
      <formula>"NOK"</formula>
    </cfRule>
  </conditionalFormatting>
  <conditionalFormatting sqref="M102">
    <cfRule type="cellIs" dxfId="79" priority="70" operator="equal">
      <formula>"OK"</formula>
    </cfRule>
    <cfRule type="cellIs" dxfId="78" priority="71" operator="equal">
      <formula>"NOK"</formula>
    </cfRule>
  </conditionalFormatting>
  <conditionalFormatting sqref="M103:M104">
    <cfRule type="cellIs" dxfId="77" priority="67" operator="equal">
      <formula>"OK"</formula>
    </cfRule>
    <cfRule type="cellIs" dxfId="76" priority="68" operator="equal">
      <formula>"NOK"</formula>
    </cfRule>
  </conditionalFormatting>
  <conditionalFormatting sqref="M103:M104">
    <cfRule type="cellIs" dxfId="75" priority="65" operator="equal">
      <formula>"OK"</formula>
    </cfRule>
    <cfRule type="cellIs" dxfId="74" priority="66" operator="equal">
      <formula>"NOK"</formula>
    </cfRule>
  </conditionalFormatting>
  <conditionalFormatting sqref="M114">
    <cfRule type="cellIs" dxfId="73" priority="63" operator="equal">
      <formula>"OK"</formula>
    </cfRule>
    <cfRule type="cellIs" dxfId="72" priority="64" operator="equal">
      <formula>"NOK"</formula>
    </cfRule>
  </conditionalFormatting>
  <conditionalFormatting sqref="M115">
    <cfRule type="cellIs" dxfId="71" priority="60" operator="equal">
      <formula>"OK"</formula>
    </cfRule>
    <cfRule type="cellIs" dxfId="70" priority="61" operator="equal">
      <formula>"NOK"</formula>
    </cfRule>
  </conditionalFormatting>
  <conditionalFormatting sqref="M115">
    <cfRule type="cellIs" dxfId="69" priority="58" operator="equal">
      <formula>"OK"</formula>
    </cfRule>
    <cfRule type="cellIs" dxfId="68" priority="59" operator="equal">
      <formula>"NOK"</formula>
    </cfRule>
  </conditionalFormatting>
  <conditionalFormatting sqref="M58">
    <cfRule type="cellIs" dxfId="67" priority="56" operator="equal">
      <formula>"OK"</formula>
    </cfRule>
    <cfRule type="cellIs" dxfId="66" priority="57" operator="equal">
      <formula>"NOK"</formula>
    </cfRule>
  </conditionalFormatting>
  <conditionalFormatting sqref="M59">
    <cfRule type="cellIs" dxfId="65" priority="54" operator="equal">
      <formula>"OK"</formula>
    </cfRule>
    <cfRule type="cellIs" dxfId="64" priority="55" operator="equal">
      <formula>"NOK"</formula>
    </cfRule>
  </conditionalFormatting>
  <conditionalFormatting sqref="M60">
    <cfRule type="cellIs" dxfId="63" priority="52" operator="equal">
      <formula>"OK"</formula>
    </cfRule>
    <cfRule type="cellIs" dxfId="62" priority="53" operator="equal">
      <formula>"NOK"</formula>
    </cfRule>
  </conditionalFormatting>
  <conditionalFormatting sqref="M56">
    <cfRule type="cellIs" dxfId="61" priority="50" operator="equal">
      <formula>"OK"</formula>
    </cfRule>
    <cfRule type="cellIs" dxfId="60" priority="51" operator="equal">
      <formula>"NOK"</formula>
    </cfRule>
  </conditionalFormatting>
  <conditionalFormatting sqref="M46">
    <cfRule type="cellIs" dxfId="59" priority="48" operator="equal">
      <formula>"OK"</formula>
    </cfRule>
    <cfRule type="cellIs" dxfId="58" priority="49" operator="equal">
      <formula>"NOK"</formula>
    </cfRule>
  </conditionalFormatting>
  <conditionalFormatting sqref="M46">
    <cfRule type="cellIs" dxfId="57" priority="46" operator="equal">
      <formula>"OK"</formula>
    </cfRule>
    <cfRule type="cellIs" dxfId="56" priority="47" operator="equal">
      <formula>"NOK"</formula>
    </cfRule>
  </conditionalFormatting>
  <conditionalFormatting sqref="I27 I23">
    <cfRule type="cellIs" dxfId="55" priority="44" operator="equal">
      <formula>"SIM"</formula>
    </cfRule>
    <cfRule type="cellIs" dxfId="54" priority="45" operator="equal">
      <formula>"NÃO"</formula>
    </cfRule>
  </conditionalFormatting>
  <conditionalFormatting sqref="E165:E1048576 E1:E162">
    <cfRule type="cellIs" dxfId="53" priority="43" operator="equal">
      <formula>"Aberto"</formula>
    </cfRule>
  </conditionalFormatting>
  <conditionalFormatting sqref="L44 L39:L42 L28:L34">
    <cfRule type="cellIs" dxfId="52" priority="42" operator="notEqual">
      <formula>"OK"</formula>
    </cfRule>
  </conditionalFormatting>
  <conditionalFormatting sqref="L115 L93:L96 L89:L91 L86:L87 L84 L66:L68 L63:L64 L61">
    <cfRule type="cellIs" dxfId="51" priority="41" operator="notEqual">
      <formula>"OK"</formula>
    </cfRule>
  </conditionalFormatting>
  <conditionalFormatting sqref="L103:L104">
    <cfRule type="cellIs" dxfId="50" priority="40" operator="notEqual">
      <formula>"OK"</formula>
    </cfRule>
  </conditionalFormatting>
  <conditionalFormatting sqref="M85">
    <cfRule type="cellIs" dxfId="49" priority="35" operator="equal">
      <formula>"OK"</formula>
    </cfRule>
    <cfRule type="cellIs" dxfId="48" priority="36" operator="equal">
      <formula>"NOK"</formula>
    </cfRule>
  </conditionalFormatting>
  <conditionalFormatting sqref="M122">
    <cfRule type="cellIs" dxfId="47" priority="33" operator="equal">
      <formula>"OK"</formula>
    </cfRule>
    <cfRule type="cellIs" dxfId="46" priority="34" operator="equal">
      <formula>"NOK"</formula>
    </cfRule>
  </conditionalFormatting>
  <conditionalFormatting sqref="M122">
    <cfRule type="cellIs" dxfId="45" priority="31" operator="equal">
      <formula>"OK"</formula>
    </cfRule>
    <cfRule type="cellIs" dxfId="44" priority="32" operator="equal">
      <formula>"NOK"</formula>
    </cfRule>
  </conditionalFormatting>
  <conditionalFormatting sqref="M129:M130">
    <cfRule type="cellIs" dxfId="43" priority="29" operator="equal">
      <formula>"OK"</formula>
    </cfRule>
    <cfRule type="cellIs" dxfId="42" priority="30" operator="equal">
      <formula>"NOK"</formula>
    </cfRule>
  </conditionalFormatting>
  <conditionalFormatting sqref="L113">
    <cfRule type="cellIs" dxfId="41" priority="28" operator="notEqual">
      <formula>"OK"</formula>
    </cfRule>
  </conditionalFormatting>
  <conditionalFormatting sqref="L131:L132">
    <cfRule type="cellIs" dxfId="40" priority="27" operator="notEqual">
      <formula>"OK"</formula>
    </cfRule>
  </conditionalFormatting>
  <conditionalFormatting sqref="M131:M132">
    <cfRule type="cellIs" dxfId="39" priority="25" operator="equal">
      <formula>"OK"</formula>
    </cfRule>
    <cfRule type="cellIs" dxfId="38" priority="26" operator="equal">
      <formula>"NOK"</formula>
    </cfRule>
  </conditionalFormatting>
  <conditionalFormatting sqref="L142">
    <cfRule type="cellIs" dxfId="37" priority="24" operator="notEqual">
      <formula>"OK"</formula>
    </cfRule>
  </conditionalFormatting>
  <conditionalFormatting sqref="M142">
    <cfRule type="cellIs" dxfId="36" priority="22" operator="equal">
      <formula>"OK"</formula>
    </cfRule>
    <cfRule type="cellIs" dxfId="35" priority="23" operator="equal">
      <formula>"NOK"</formula>
    </cfRule>
  </conditionalFormatting>
  <conditionalFormatting sqref="L135:L137">
    <cfRule type="cellIs" dxfId="34" priority="21" operator="notEqual">
      <formula>"OK"</formula>
    </cfRule>
  </conditionalFormatting>
  <conditionalFormatting sqref="M135:M137">
    <cfRule type="cellIs" dxfId="33" priority="19" operator="equal">
      <formula>"OK"</formula>
    </cfRule>
    <cfRule type="cellIs" dxfId="32" priority="20" operator="equal">
      <formula>"NOK"</formula>
    </cfRule>
  </conditionalFormatting>
  <conditionalFormatting sqref="L140:L141">
    <cfRule type="cellIs" dxfId="31" priority="18" operator="notEqual">
      <formula>"OK"</formula>
    </cfRule>
  </conditionalFormatting>
  <conditionalFormatting sqref="M140:M141">
    <cfRule type="cellIs" dxfId="30" priority="16" operator="equal">
      <formula>"OK"</formula>
    </cfRule>
    <cfRule type="cellIs" dxfId="29" priority="17" operator="equal">
      <formula>"NOK"</formula>
    </cfRule>
  </conditionalFormatting>
  <conditionalFormatting sqref="L150:L151">
    <cfRule type="cellIs" dxfId="28" priority="15" operator="notEqual">
      <formula>"OK"</formula>
    </cfRule>
  </conditionalFormatting>
  <conditionalFormatting sqref="M150:M151">
    <cfRule type="cellIs" dxfId="27" priority="13" operator="equal">
      <formula>"OK"</formula>
    </cfRule>
    <cfRule type="cellIs" dxfId="26" priority="14" operator="equal">
      <formula>"NOK"</formula>
    </cfRule>
  </conditionalFormatting>
  <conditionalFormatting sqref="L153">
    <cfRule type="cellIs" dxfId="25" priority="12" operator="notEqual">
      <formula>"OK"</formula>
    </cfRule>
  </conditionalFormatting>
  <conditionalFormatting sqref="M153">
    <cfRule type="cellIs" dxfId="24" priority="10" operator="equal">
      <formula>"OK"</formula>
    </cfRule>
    <cfRule type="cellIs" dxfId="23" priority="11" operator="equal">
      <formula>"NOK"</formula>
    </cfRule>
  </conditionalFormatting>
  <conditionalFormatting sqref="L159">
    <cfRule type="cellIs" dxfId="8" priority="9" operator="notEqual">
      <formula>"OK"</formula>
    </cfRule>
  </conditionalFormatting>
  <conditionalFormatting sqref="M159">
    <cfRule type="cellIs" dxfId="7" priority="7" operator="equal">
      <formula>"OK"</formula>
    </cfRule>
    <cfRule type="cellIs" dxfId="6" priority="8" operator="equal">
      <formula>"NOK"</formula>
    </cfRule>
  </conditionalFormatting>
  <conditionalFormatting sqref="F163:I164">
    <cfRule type="cellIs" dxfId="5" priority="5" operator="equal">
      <formula>"SIM"</formula>
    </cfRule>
    <cfRule type="cellIs" dxfId="4" priority="6" operator="equal">
      <formula>"NÃO"</formula>
    </cfRule>
  </conditionalFormatting>
  <conditionalFormatting sqref="E163:E164">
    <cfRule type="cellIs" dxfId="3" priority="4" operator="equal">
      <formula>"Aberto"</formula>
    </cfRule>
  </conditionalFormatting>
  <conditionalFormatting sqref="L163:L164">
    <cfRule type="cellIs" dxfId="2" priority="3" operator="notEqual">
      <formula>"OK"</formula>
    </cfRule>
  </conditionalFormatting>
  <conditionalFormatting sqref="M163:M164">
    <cfRule type="cellIs" dxfId="1" priority="1" operator="equal">
      <formula>"OK"</formula>
    </cfRule>
    <cfRule type="cellIs" dxfId="0" priority="2" operator="equal">
      <formula>"NOK"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AUXILIAR!$A$2:$A$3</xm:f>
          </x14:formula1>
          <xm:sqref>I74 I6:I72 F6:H79 I76:I77 F80:I505</xm:sqref>
        </x14:dataValidation>
        <x14:dataValidation type="list" allowBlank="1" xr:uid="{00000000-0002-0000-0000-000001000000}">
          <x14:formula1>
            <xm:f>AUXILIAR!$C$2:$C$11</xm:f>
          </x14:formula1>
          <xm:sqref>B6:B505</xm:sqref>
        </x14:dataValidation>
        <x14:dataValidation type="list" allowBlank="1" xr:uid="{00000000-0002-0000-0000-000002000000}">
          <x14:formula1>
            <xm:f>AUXILIAR!$E$2:$E$9</xm:f>
          </x14:formula1>
          <xm:sqref>D6:D505</xm:sqref>
        </x14:dataValidation>
        <x14:dataValidation type="list" allowBlank="1" xr:uid="{00000000-0002-0000-0000-000006000000}">
          <x14:formula1>
            <xm:f>AUXILIAR!$M$2:$M$5</xm:f>
          </x14:formula1>
          <xm:sqref>N6:N505</xm:sqref>
        </x14:dataValidation>
        <x14:dataValidation type="list" allowBlank="1" xr:uid="{00000000-0002-0000-0000-000005000000}">
          <x14:formula1>
            <xm:f>AUXILIAR!$K$3:$K$7</xm:f>
          </x14:formula1>
          <xm:sqref>O6:O505</xm:sqref>
        </x14:dataValidation>
        <x14:dataValidation type="list" allowBlank="1" xr:uid="{00000000-0002-0000-0000-000003000000}">
          <x14:formula1>
            <xm:f>AUXILIAR!$G$2:$G$7</xm:f>
          </x14:formula1>
          <xm:sqref>E6:E505</xm:sqref>
        </x14:dataValidation>
        <x14:dataValidation type="list" allowBlank="1" xr:uid="{00000000-0002-0000-0000-000004000000}">
          <x14:formula1>
            <xm:f>AUXILIAR!$I$2:$I$11</xm:f>
          </x14:formula1>
          <xm:sqref>L6:L505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18"/>
  <sheetViews>
    <sheetView showGridLines="0" workbookViewId="0">
      <selection activeCell="C37" sqref="C37"/>
    </sheetView>
  </sheetViews>
  <sheetFormatPr defaultRowHeight="15" x14ac:dyDescent="0.25"/>
  <cols>
    <col min="1" max="1" width="120" customWidth="1"/>
  </cols>
  <sheetData>
    <row r="1" spans="1:9" x14ac:dyDescent="0.25">
      <c r="A1" s="157" t="s">
        <v>86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57"/>
      <c r="B2" s="18"/>
      <c r="C2" s="18"/>
      <c r="D2" s="18"/>
      <c r="E2" s="18"/>
      <c r="F2" s="18"/>
      <c r="G2" s="18"/>
      <c r="H2" s="18"/>
      <c r="I2" s="18"/>
    </row>
    <row r="3" spans="1:9" x14ac:dyDescent="0.25">
      <c r="A3" s="19"/>
    </row>
    <row r="4" spans="1:9" ht="18.75" x14ac:dyDescent="0.25">
      <c r="A4" s="20" t="s">
        <v>87</v>
      </c>
    </row>
    <row r="5" spans="1:9" x14ac:dyDescent="0.25">
      <c r="A5" s="21" t="s">
        <v>88</v>
      </c>
    </row>
    <row r="6" spans="1:9" x14ac:dyDescent="0.25">
      <c r="A6" s="21" t="s">
        <v>89</v>
      </c>
    </row>
    <row r="7" spans="1:9" x14ac:dyDescent="0.25">
      <c r="A7" s="21" t="s">
        <v>90</v>
      </c>
    </row>
    <row r="8" spans="1:9" x14ac:dyDescent="0.25">
      <c r="A8" s="21" t="s">
        <v>91</v>
      </c>
    </row>
    <row r="9" spans="1:9" x14ac:dyDescent="0.25">
      <c r="A9" s="21" t="s">
        <v>92</v>
      </c>
    </row>
    <row r="10" spans="1:9" x14ac:dyDescent="0.25">
      <c r="A10" s="21" t="s">
        <v>93</v>
      </c>
    </row>
    <row r="11" spans="1:9" x14ac:dyDescent="0.25">
      <c r="A11" s="21" t="s">
        <v>94</v>
      </c>
    </row>
    <row r="12" spans="1:9" x14ac:dyDescent="0.25">
      <c r="A12" s="21" t="s">
        <v>95</v>
      </c>
    </row>
    <row r="13" spans="1:9" x14ac:dyDescent="0.25">
      <c r="A13" s="19"/>
    </row>
    <row r="14" spans="1:9" ht="18.75" x14ac:dyDescent="0.25">
      <c r="A14" s="20" t="s">
        <v>96</v>
      </c>
    </row>
    <row r="15" spans="1:9" x14ac:dyDescent="0.25">
      <c r="A15" s="21" t="s">
        <v>97</v>
      </c>
    </row>
    <row r="16" spans="1:9" x14ac:dyDescent="0.25">
      <c r="A16" s="21" t="s">
        <v>98</v>
      </c>
    </row>
    <row r="17" spans="1:1" x14ac:dyDescent="0.25">
      <c r="A17" s="21" t="s">
        <v>99</v>
      </c>
    </row>
    <row r="18" spans="1:1" x14ac:dyDescent="0.25">
      <c r="A18" s="21" t="s">
        <v>100</v>
      </c>
    </row>
  </sheetData>
  <mergeCells count="1"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11"/>
  <sheetViews>
    <sheetView showGridLines="0" topLeftCell="A4" workbookViewId="0">
      <selection activeCell="E5" sqref="E5"/>
    </sheetView>
  </sheetViews>
  <sheetFormatPr defaultRowHeight="15" x14ac:dyDescent="0.25"/>
  <cols>
    <col min="1" max="1" width="21.7109375" bestFit="1" customWidth="1"/>
    <col min="2" max="2" width="91.5703125" customWidth="1"/>
  </cols>
  <sheetData>
    <row r="1" spans="1:8" x14ac:dyDescent="0.25">
      <c r="A1" s="158" t="s">
        <v>64</v>
      </c>
      <c r="B1" s="158"/>
      <c r="C1" s="18"/>
      <c r="D1" s="18"/>
      <c r="E1" s="18"/>
      <c r="F1" s="18"/>
      <c r="G1" s="18"/>
      <c r="H1" s="18"/>
    </row>
    <row r="2" spans="1:8" x14ac:dyDescent="0.25">
      <c r="A2" s="158"/>
      <c r="B2" s="158"/>
      <c r="C2" s="18"/>
      <c r="D2" s="18"/>
      <c r="E2" s="18"/>
      <c r="F2" s="18"/>
      <c r="G2" s="18"/>
      <c r="H2" s="18"/>
    </row>
    <row r="4" spans="1:8" x14ac:dyDescent="0.25">
      <c r="A4" s="5" t="s">
        <v>65</v>
      </c>
      <c r="B4" s="5" t="s">
        <v>66</v>
      </c>
    </row>
    <row r="5" spans="1:8" ht="105" x14ac:dyDescent="0.25">
      <c r="A5" s="3" t="s">
        <v>67</v>
      </c>
      <c r="B5" s="47" t="s">
        <v>68</v>
      </c>
    </row>
    <row r="6" spans="1:8" ht="120" x14ac:dyDescent="0.25">
      <c r="A6" s="3" t="s">
        <v>69</v>
      </c>
      <c r="B6" s="47" t="s">
        <v>70</v>
      </c>
    </row>
    <row r="7" spans="1:8" ht="75" x14ac:dyDescent="0.25">
      <c r="A7" s="3" t="s">
        <v>34</v>
      </c>
      <c r="B7" s="47" t="s">
        <v>71</v>
      </c>
    </row>
    <row r="8" spans="1:8" ht="75" x14ac:dyDescent="0.25">
      <c r="A8" s="3" t="s">
        <v>72</v>
      </c>
      <c r="B8" s="47" t="s">
        <v>73</v>
      </c>
    </row>
    <row r="9" spans="1:8" ht="75" x14ac:dyDescent="0.25">
      <c r="A9" s="3" t="s">
        <v>36</v>
      </c>
      <c r="B9" s="47" t="s">
        <v>74</v>
      </c>
    </row>
    <row r="10" spans="1:8" ht="75" x14ac:dyDescent="0.25">
      <c r="A10" s="3" t="s">
        <v>37</v>
      </c>
      <c r="B10" s="47" t="s">
        <v>75</v>
      </c>
    </row>
    <row r="11" spans="1:8" ht="75" x14ac:dyDescent="0.25">
      <c r="A11" s="3" t="s">
        <v>35</v>
      </c>
      <c r="B11" s="47" t="s">
        <v>76</v>
      </c>
    </row>
  </sheetData>
  <mergeCells count="1">
    <mergeCell ref="A1:B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P11"/>
  <sheetViews>
    <sheetView topLeftCell="D1" workbookViewId="0">
      <selection activeCell="O2" sqref="O2:P9"/>
    </sheetView>
  </sheetViews>
  <sheetFormatPr defaultRowHeight="15" x14ac:dyDescent="0.25"/>
  <cols>
    <col min="1" max="1" width="25.42578125" customWidth="1"/>
    <col min="2" max="2" width="3.7109375" customWidth="1"/>
    <col min="3" max="3" width="25.42578125" customWidth="1"/>
    <col min="4" max="4" width="5.7109375" customWidth="1"/>
    <col min="5" max="5" width="25.42578125" customWidth="1"/>
    <col min="6" max="6" width="5.7109375" customWidth="1"/>
    <col min="7" max="7" width="25.42578125" customWidth="1"/>
    <col min="8" max="8" width="5.7109375" customWidth="1"/>
    <col min="9" max="9" width="25.42578125" customWidth="1"/>
    <col min="10" max="10" width="5.7109375" customWidth="1"/>
    <col min="11" max="11" width="25.42578125" customWidth="1"/>
    <col min="12" max="12" width="5.7109375" customWidth="1"/>
    <col min="13" max="13" width="25.7109375" customWidth="1"/>
    <col min="14" max="14" width="5.7109375" customWidth="1"/>
    <col min="15" max="16" width="25.42578125" style="9" customWidth="1"/>
    <col min="17" max="17" width="5.7109375" customWidth="1"/>
  </cols>
  <sheetData>
    <row r="1" spans="1:16" ht="15.75" thickBot="1" x14ac:dyDescent="0.3">
      <c r="A1" s="7" t="s">
        <v>77</v>
      </c>
      <c r="C1" s="7" t="s">
        <v>78</v>
      </c>
      <c r="E1" s="7" t="s">
        <v>79</v>
      </c>
      <c r="G1" s="7" t="s">
        <v>80</v>
      </c>
      <c r="I1" s="7" t="s">
        <v>81</v>
      </c>
      <c r="K1" s="7" t="s">
        <v>82</v>
      </c>
      <c r="M1" s="7" t="s">
        <v>83</v>
      </c>
      <c r="O1" s="16" t="s">
        <v>122</v>
      </c>
      <c r="P1" s="16" t="s">
        <v>123</v>
      </c>
    </row>
    <row r="2" spans="1:16" x14ac:dyDescent="0.25">
      <c r="A2" s="8" t="s">
        <v>18</v>
      </c>
      <c r="C2" s="8" t="s">
        <v>101</v>
      </c>
      <c r="E2" s="8" t="s">
        <v>114</v>
      </c>
      <c r="G2" s="8" t="s">
        <v>115</v>
      </c>
      <c r="I2" s="8" t="s">
        <v>42</v>
      </c>
      <c r="K2" s="8" t="s">
        <v>121</v>
      </c>
      <c r="M2" s="8" t="s">
        <v>62</v>
      </c>
      <c r="O2" s="17" t="s">
        <v>101</v>
      </c>
      <c r="P2" s="17" t="s">
        <v>121</v>
      </c>
    </row>
    <row r="3" spans="1:16" x14ac:dyDescent="0.25">
      <c r="A3" s="8" t="s">
        <v>19</v>
      </c>
      <c r="C3" s="8" t="s">
        <v>102</v>
      </c>
      <c r="E3" s="8" t="s">
        <v>113</v>
      </c>
      <c r="G3" s="8" t="s">
        <v>116</v>
      </c>
      <c r="I3" s="8" t="s">
        <v>50</v>
      </c>
      <c r="K3" s="8" t="s">
        <v>109</v>
      </c>
      <c r="M3" s="8" t="s">
        <v>84</v>
      </c>
      <c r="O3" s="17" t="s">
        <v>102</v>
      </c>
      <c r="P3" s="17" t="s">
        <v>112</v>
      </c>
    </row>
    <row r="4" spans="1:16" x14ac:dyDescent="0.25">
      <c r="C4" s="8" t="s">
        <v>103</v>
      </c>
      <c r="E4" s="8" t="s">
        <v>124</v>
      </c>
      <c r="G4" s="8" t="s">
        <v>117</v>
      </c>
      <c r="I4" s="8" t="s">
        <v>142</v>
      </c>
      <c r="K4" s="8" t="s">
        <v>112</v>
      </c>
      <c r="M4" s="8" t="s">
        <v>85</v>
      </c>
      <c r="O4" s="17" t="s">
        <v>103</v>
      </c>
      <c r="P4" s="17" t="s">
        <v>120</v>
      </c>
    </row>
    <row r="5" spans="1:16" x14ac:dyDescent="0.25">
      <c r="C5" s="8" t="s">
        <v>104</v>
      </c>
      <c r="E5" s="8" t="s">
        <v>135</v>
      </c>
      <c r="G5" s="8" t="s">
        <v>138</v>
      </c>
      <c r="I5" s="8" t="s">
        <v>140</v>
      </c>
      <c r="K5" s="8" t="s">
        <v>120</v>
      </c>
      <c r="O5" s="17" t="s">
        <v>104</v>
      </c>
      <c r="P5" s="17" t="s">
        <v>110</v>
      </c>
    </row>
    <row r="6" spans="1:16" x14ac:dyDescent="0.25">
      <c r="C6" s="8" t="s">
        <v>105</v>
      </c>
      <c r="E6" s="8"/>
      <c r="G6" s="8" t="s">
        <v>118</v>
      </c>
      <c r="I6" s="8" t="s">
        <v>139</v>
      </c>
      <c r="K6" s="8" t="s">
        <v>111</v>
      </c>
      <c r="O6" s="17" t="s">
        <v>105</v>
      </c>
      <c r="P6" s="17" t="s">
        <v>108</v>
      </c>
    </row>
    <row r="7" spans="1:16" x14ac:dyDescent="0.25">
      <c r="C7" s="8" t="s">
        <v>106</v>
      </c>
      <c r="E7" s="8"/>
      <c r="G7" s="8" t="s">
        <v>55</v>
      </c>
      <c r="I7" s="8" t="s">
        <v>141</v>
      </c>
      <c r="K7" s="8" t="s">
        <v>110</v>
      </c>
      <c r="O7" s="17" t="s">
        <v>106</v>
      </c>
      <c r="P7" s="17" t="s">
        <v>109</v>
      </c>
    </row>
    <row r="8" spans="1:16" x14ac:dyDescent="0.25">
      <c r="C8" s="8" t="s">
        <v>107</v>
      </c>
      <c r="E8" s="8"/>
      <c r="I8" s="8" t="s">
        <v>53</v>
      </c>
      <c r="K8" s="8" t="s">
        <v>108</v>
      </c>
      <c r="O8" s="17" t="s">
        <v>107</v>
      </c>
      <c r="P8" s="17"/>
    </row>
    <row r="9" spans="1:16" x14ac:dyDescent="0.25">
      <c r="C9" s="8" t="s">
        <v>119</v>
      </c>
      <c r="E9" s="8"/>
      <c r="I9" s="8" t="s">
        <v>54</v>
      </c>
      <c r="O9" s="17" t="s">
        <v>119</v>
      </c>
      <c r="P9" s="17" t="s">
        <v>111</v>
      </c>
    </row>
    <row r="10" spans="1:16" x14ac:dyDescent="0.25">
      <c r="I10" s="8" t="s">
        <v>56</v>
      </c>
    </row>
    <row r="11" spans="1:16" x14ac:dyDescent="0.25">
      <c r="I11" s="8" t="s">
        <v>57</v>
      </c>
    </row>
  </sheetData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W500"/>
  <sheetViews>
    <sheetView showGridLines="0" topLeftCell="G1" zoomScaleNormal="100" workbookViewId="0">
      <pane ySplit="4" topLeftCell="A59" activePane="bottomLeft" state="frozen"/>
      <selection pane="bottomLeft" activeCell="A5" sqref="A5:W500"/>
    </sheetView>
  </sheetViews>
  <sheetFormatPr defaultRowHeight="15" x14ac:dyDescent="0.25"/>
  <cols>
    <col min="1" max="1" width="14.5703125" style="4" customWidth="1"/>
    <col min="2" max="2" width="14.42578125" style="53" bestFit="1" customWidth="1"/>
    <col min="3" max="3" width="17.7109375" bestFit="1" customWidth="1"/>
    <col min="4" max="4" width="14.28515625" bestFit="1" customWidth="1"/>
    <col min="5" max="5" width="18" bestFit="1" customWidth="1"/>
    <col min="6" max="6" width="15.28515625" bestFit="1" customWidth="1"/>
    <col min="7" max="7" width="17.85546875" bestFit="1" customWidth="1"/>
    <col min="8" max="8" width="14.85546875" bestFit="1" customWidth="1"/>
    <col min="9" max="9" width="13.5703125" bestFit="1" customWidth="1"/>
    <col min="10" max="10" width="14.140625" bestFit="1" customWidth="1"/>
    <col min="11" max="11" width="13" bestFit="1" customWidth="1"/>
    <col min="12" max="12" width="19.5703125" style="53" bestFit="1" customWidth="1"/>
    <col min="13" max="13" width="31.140625" style="53" bestFit="1" customWidth="1"/>
    <col min="14" max="14" width="17.140625" bestFit="1" customWidth="1"/>
    <col min="15" max="15" width="18.42578125" bestFit="1" customWidth="1"/>
    <col min="16" max="16" width="8.5703125" style="53" customWidth="1"/>
    <col min="17" max="17" width="15.28515625" bestFit="1" customWidth="1"/>
    <col min="18" max="18" width="19.85546875" style="18" bestFit="1" customWidth="1"/>
    <col min="19" max="19" width="9.42578125" bestFit="1" customWidth="1"/>
    <col min="20" max="20" width="12.5703125" bestFit="1" customWidth="1"/>
    <col min="21" max="21" width="9.140625" bestFit="1" customWidth="1"/>
    <col min="22" max="22" width="13.140625" bestFit="1" customWidth="1"/>
    <col min="23" max="23" width="17.85546875" bestFit="1" customWidth="1"/>
  </cols>
  <sheetData>
    <row r="1" spans="1:23" x14ac:dyDescent="0.25">
      <c r="A1" s="159" t="s">
        <v>25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</row>
    <row r="2" spans="1:23" x14ac:dyDescent="0.2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4" spans="1:23" ht="30" x14ac:dyDescent="0.25">
      <c r="A4" s="10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2" t="s">
        <v>16</v>
      </c>
      <c r="Q4" s="5" t="s">
        <v>26</v>
      </c>
      <c r="R4" s="5" t="s">
        <v>27</v>
      </c>
      <c r="S4" s="5" t="s">
        <v>28</v>
      </c>
      <c r="T4" s="5" t="s">
        <v>29</v>
      </c>
      <c r="U4" s="5" t="s">
        <v>30</v>
      </c>
      <c r="V4" s="5" t="s">
        <v>31</v>
      </c>
      <c r="W4" s="5" t="s">
        <v>32</v>
      </c>
    </row>
    <row r="5" spans="1:23" x14ac:dyDescent="0.25">
      <c r="A5" s="2">
        <f>CONTROLE_DIARIO!A6</f>
        <v>46141</v>
      </c>
      <c r="B5" s="51" t="str">
        <f>CONTROLE_DIARIO!B6</f>
        <v>Loja ADE</v>
      </c>
      <c r="C5" s="3">
        <f>CONTROLE_DIARIO!C6</f>
        <v>3895</v>
      </c>
      <c r="D5" s="3" t="str">
        <f>CONTROLE_DIARIO!D6</f>
        <v>João Lucas</v>
      </c>
      <c r="E5" s="3" t="str">
        <f>CONTROLE_DIARIO!E6</f>
        <v>Entrega Total</v>
      </c>
      <c r="F5" s="3" t="str">
        <f>CONTROLE_DIARIO!F6</f>
        <v>SIM</v>
      </c>
      <c r="G5" s="3" t="str">
        <f>CONTROLE_DIARIO!G6</f>
        <v>SIM</v>
      </c>
      <c r="H5" s="3" t="str">
        <f>CONTROLE_DIARIO!H6</f>
        <v>SIM</v>
      </c>
      <c r="I5" s="3" t="str">
        <f>CONTROLE_DIARIO!I6</f>
        <v>SIM</v>
      </c>
      <c r="J5" s="3" t="str">
        <f>CONTROLE_DIARIO!J6</f>
        <v>SIM</v>
      </c>
      <c r="K5" s="3" t="str">
        <f>CONTROLE_DIARIO!K6</f>
        <v>OK</v>
      </c>
      <c r="L5" s="51" t="str">
        <f>CONTROLE_DIARIO!L6</f>
        <v>OK</v>
      </c>
      <c r="M5" s="51">
        <f>CONTROLE_DIARIO!M6</f>
        <v>0</v>
      </c>
      <c r="N5" s="3" t="str">
        <f>CONTROLE_DIARIO!N6</f>
        <v>Qualidade</v>
      </c>
      <c r="O5" s="3" t="str">
        <f>CONTROLE_DIARIO!O6</f>
        <v>Danilo</v>
      </c>
      <c r="P5" s="51" t="str">
        <f>CONTROLE_DIARIO!P6</f>
        <v>yyyy0429-Loja ADE-3895</v>
      </c>
      <c r="Q5" s="6">
        <f t="shared" ref="Q5" si="0">IF(C5="","",(IF(F5="SIM",0.3,0)+IF(J5="SIM",0.4,0)+IF(I5="SIM",0.3,0)))</f>
        <v>1</v>
      </c>
      <c r="R5" s="54" t="str">
        <f>IF(C5="","",IF(E5="Retorno Total","Retorno Total",IF(E5="Cancelado","Manifesto Cancelado",IF(AND(F5="NÃO",G5="NÃO",H5="NÃO"),"FORA APP",IF(F5="NÃO","Não conferido",IF(I5="NÃO","Não baixado",IF(AND(G5="NÃO",H5="NÃO"),"Sem foto e assinatura",IF(G5="NÃO","Sem foto",IF(H5="NÃO","Sem assinatura","OK")))))))))</f>
        <v>OK</v>
      </c>
      <c r="S5" s="3" t="str">
        <f>IF(A5="","",TEXT(A5,"mmm/yy"))</f>
        <v>abr/yy</v>
      </c>
      <c r="T5" s="3">
        <f t="shared" ref="T5" si="1">IF(A5="","",WEEKNUM(A5,2))</f>
        <v>18</v>
      </c>
      <c r="U5" s="3">
        <f t="shared" ref="U5" si="2">IF(A5="","",YEAR(A5))</f>
        <v>2026</v>
      </c>
      <c r="V5" s="6">
        <f t="shared" ref="V5" si="3">IF(C5="","",Q5)</f>
        <v>1</v>
      </c>
      <c r="W5" s="3" t="str">
        <f t="shared" ref="W5" si="4">IF(C5="","",IF(Q5&lt;0.85,"CRÍTICO",IF(Q5&lt;0.95,"ATENÇÃO","OK")))</f>
        <v>OK</v>
      </c>
    </row>
    <row r="6" spans="1:23" x14ac:dyDescent="0.25">
      <c r="A6" s="2">
        <f>CONTROLE_DIARIO!A7</f>
        <v>46141</v>
      </c>
      <c r="B6" s="51" t="str">
        <f>CONTROLE_DIARIO!B7</f>
        <v>Loja ADE</v>
      </c>
      <c r="C6" s="3">
        <f>CONTROLE_DIARIO!C7</f>
        <v>3896</v>
      </c>
      <c r="D6" s="3" t="str">
        <f>CONTROLE_DIARIO!D7</f>
        <v>João Lucas</v>
      </c>
      <c r="E6" s="3" t="str">
        <f>CONTROLE_DIARIO!E7</f>
        <v>Entrega Total</v>
      </c>
      <c r="F6" s="3" t="str">
        <f>CONTROLE_DIARIO!F7</f>
        <v>SIM</v>
      </c>
      <c r="G6" s="3" t="str">
        <f>CONTROLE_DIARIO!G7</f>
        <v>SIM</v>
      </c>
      <c r="H6" s="3" t="str">
        <f>CONTROLE_DIARIO!H7</f>
        <v>SIM</v>
      </c>
      <c r="I6" s="3" t="str">
        <f>CONTROLE_DIARIO!I7</f>
        <v>SIM</v>
      </c>
      <c r="J6" s="3" t="str">
        <f>CONTROLE_DIARIO!J7</f>
        <v>SIM</v>
      </c>
      <c r="K6" s="3" t="str">
        <f>CONTROLE_DIARIO!K7</f>
        <v>OK</v>
      </c>
      <c r="L6" s="51" t="str">
        <f>CONTROLE_DIARIO!L7</f>
        <v>OK</v>
      </c>
      <c r="M6" s="51">
        <f>CONTROLE_DIARIO!M7</f>
        <v>0</v>
      </c>
      <c r="N6" s="3" t="str">
        <f>CONTROLE_DIARIO!N7</f>
        <v>Qualidade</v>
      </c>
      <c r="O6" s="3" t="str">
        <f>CONTROLE_DIARIO!O7</f>
        <v>Danilo</v>
      </c>
      <c r="P6" s="51" t="str">
        <f>CONTROLE_DIARIO!P7</f>
        <v>yyyy0429-Loja ADE-3896</v>
      </c>
      <c r="Q6" s="6">
        <f t="shared" ref="Q6:Q69" si="5">IF(C6="","",(IF(F6="SIM",0.3,0)+IF(J6="SIM",0.4,0)+IF(I6="SIM",0.3,0)))</f>
        <v>1</v>
      </c>
      <c r="R6" s="54" t="str">
        <f t="shared" ref="R6:R69" si="6">IF(C6="","",IF(E6="Retorno Total","Retorno Total",IF(E6="Cancelado","Manifesto Cancelado",IF(AND(F6="NÃO",G6="NÃO",H6="NÃO"),"FORA APP",IF(F6="NÃO","Não conferido",IF(I6="NÃO","Não baixado",IF(AND(G6="NÃO",H6="NÃO"),"Sem foto e assinatura",IF(G6="NÃO","Sem foto",IF(H6="NÃO","Sem assinatura","OK")))))))))</f>
        <v>OK</v>
      </c>
      <c r="S6" s="3" t="str">
        <f t="shared" ref="S6:S69" si="7">IF(A6="","",TEXT(A6,"mmm/yy"))</f>
        <v>abr/yy</v>
      </c>
      <c r="T6" s="3">
        <f t="shared" ref="T6:T69" si="8">IF(A6="","",WEEKNUM(A6,2))</f>
        <v>18</v>
      </c>
      <c r="U6" s="3">
        <f t="shared" ref="U6:U69" si="9">IF(A6="","",YEAR(A6))</f>
        <v>2026</v>
      </c>
      <c r="V6" s="6">
        <f t="shared" ref="V6:V69" si="10">IF(C6="","",Q6)</f>
        <v>1</v>
      </c>
      <c r="W6" s="3" t="str">
        <f t="shared" ref="W6:W69" si="11">IF(C6="","",IF(Q6&lt;0.85,"CRÍTICO",IF(Q6&lt;0.95,"ATENÇÃO","OK")))</f>
        <v>OK</v>
      </c>
    </row>
    <row r="7" spans="1:23" x14ac:dyDescent="0.25">
      <c r="A7" s="2">
        <f>CONTROLE_DIARIO!A8</f>
        <v>46141</v>
      </c>
      <c r="B7" s="51" t="str">
        <f>CONTROLE_DIARIO!B8</f>
        <v>Loja ADE</v>
      </c>
      <c r="C7" s="3">
        <f>CONTROLE_DIARIO!C8</f>
        <v>3897</v>
      </c>
      <c r="D7" s="3" t="str">
        <f>CONTROLE_DIARIO!D8</f>
        <v>João Lucas</v>
      </c>
      <c r="E7" s="3" t="str">
        <f>CONTROLE_DIARIO!E8</f>
        <v>Entrega Total</v>
      </c>
      <c r="F7" s="3" t="str">
        <f>CONTROLE_DIARIO!F8</f>
        <v>SIM</v>
      </c>
      <c r="G7" s="3" t="str">
        <f>CONTROLE_DIARIO!G8</f>
        <v>SIM</v>
      </c>
      <c r="H7" s="3" t="str">
        <f>CONTROLE_DIARIO!H8</f>
        <v>NÃO</v>
      </c>
      <c r="I7" s="3" t="str">
        <f>CONTROLE_DIARIO!I8</f>
        <v>SIM</v>
      </c>
      <c r="J7" s="3" t="str">
        <f>CONTROLE_DIARIO!J8</f>
        <v>NÃO</v>
      </c>
      <c r="K7" s="3" t="str">
        <f>CONTROLE_DIARIO!K8</f>
        <v>NOK</v>
      </c>
      <c r="L7" s="51" t="str">
        <f>CONTROLE_DIARIO!L8</f>
        <v>Sem assinatura</v>
      </c>
      <c r="M7" s="51">
        <f>CONTROLE_DIARIO!M8</f>
        <v>0</v>
      </c>
      <c r="N7" s="3" t="str">
        <f>CONTROLE_DIARIO!N8</f>
        <v>Qualidade</v>
      </c>
      <c r="O7" s="3" t="str">
        <f>CONTROLE_DIARIO!O8</f>
        <v>Danilo</v>
      </c>
      <c r="P7" s="51" t="str">
        <f>CONTROLE_DIARIO!P8</f>
        <v>yyyy0429-Loja ADE-3897</v>
      </c>
      <c r="Q7" s="6">
        <f t="shared" si="5"/>
        <v>0.6</v>
      </c>
      <c r="R7" s="54" t="str">
        <f t="shared" si="6"/>
        <v>Sem assinatura</v>
      </c>
      <c r="S7" s="3" t="str">
        <f t="shared" si="7"/>
        <v>abr/yy</v>
      </c>
      <c r="T7" s="3">
        <f t="shared" si="8"/>
        <v>18</v>
      </c>
      <c r="U7" s="3">
        <f t="shared" si="9"/>
        <v>2026</v>
      </c>
      <c r="V7" s="6">
        <f t="shared" si="10"/>
        <v>0.6</v>
      </c>
      <c r="W7" s="3" t="str">
        <f t="shared" si="11"/>
        <v>CRÍTICO</v>
      </c>
    </row>
    <row r="8" spans="1:23" x14ac:dyDescent="0.25">
      <c r="A8" s="2">
        <f>CONTROLE_DIARIO!A9</f>
        <v>46141</v>
      </c>
      <c r="B8" s="51" t="str">
        <f>CONTROLE_DIARIO!B9</f>
        <v>Loja ADE</v>
      </c>
      <c r="C8" s="3">
        <f>CONTROLE_DIARIO!C9</f>
        <v>3901</v>
      </c>
      <c r="D8" s="3" t="str">
        <f>CONTROLE_DIARIO!D9</f>
        <v>João Lucas</v>
      </c>
      <c r="E8" s="3" t="str">
        <f>CONTROLE_DIARIO!E9</f>
        <v>Entrega Total</v>
      </c>
      <c r="F8" s="3" t="str">
        <f>CONTROLE_DIARIO!F9</f>
        <v>SIM</v>
      </c>
      <c r="G8" s="3" t="str">
        <f>CONTROLE_DIARIO!G9</f>
        <v>SIM</v>
      </c>
      <c r="H8" s="3" t="str">
        <f>CONTROLE_DIARIO!H9</f>
        <v>SIM</v>
      </c>
      <c r="I8" s="3" t="str">
        <f>CONTROLE_DIARIO!I9</f>
        <v>SIM</v>
      </c>
      <c r="J8" s="3" t="str">
        <f>CONTROLE_DIARIO!J9</f>
        <v>SIM</v>
      </c>
      <c r="K8" s="3" t="str">
        <f>CONTROLE_DIARIO!K9</f>
        <v>OK</v>
      </c>
      <c r="L8" s="51" t="str">
        <f>CONTROLE_DIARIO!L9</f>
        <v>OK</v>
      </c>
      <c r="M8" s="51">
        <f>CONTROLE_DIARIO!M9</f>
        <v>0</v>
      </c>
      <c r="N8" s="3" t="str">
        <f>CONTROLE_DIARIO!N9</f>
        <v>Qualidade</v>
      </c>
      <c r="O8" s="3" t="str">
        <f>CONTROLE_DIARIO!O9</f>
        <v>Danilo</v>
      </c>
      <c r="P8" s="51" t="str">
        <f>CONTROLE_DIARIO!P9</f>
        <v>yyyy0429-Loja ADE-3901</v>
      </c>
      <c r="Q8" s="6">
        <f t="shared" si="5"/>
        <v>1</v>
      </c>
      <c r="R8" s="54" t="str">
        <f t="shared" si="6"/>
        <v>OK</v>
      </c>
      <c r="S8" s="3" t="str">
        <f t="shared" si="7"/>
        <v>abr/yy</v>
      </c>
      <c r="T8" s="3">
        <f t="shared" si="8"/>
        <v>18</v>
      </c>
      <c r="U8" s="3">
        <f t="shared" si="9"/>
        <v>2026</v>
      </c>
      <c r="V8" s="6">
        <f t="shared" si="10"/>
        <v>1</v>
      </c>
      <c r="W8" s="3" t="str">
        <f t="shared" si="11"/>
        <v>OK</v>
      </c>
    </row>
    <row r="9" spans="1:23" x14ac:dyDescent="0.25">
      <c r="A9" s="2">
        <f>CONTROLE_DIARIO!A10</f>
        <v>46149</v>
      </c>
      <c r="B9" s="51" t="str">
        <f>CONTROLE_DIARIO!B10</f>
        <v>Loja Pistão</v>
      </c>
      <c r="C9" s="3">
        <f>CONTROLE_DIARIO!C10</f>
        <v>3902</v>
      </c>
      <c r="D9" s="3" t="str">
        <f>CONTROLE_DIARIO!D10</f>
        <v>João Lucas</v>
      </c>
      <c r="E9" s="3" t="str">
        <f>CONTROLE_DIARIO!E10</f>
        <v>Entrega Total</v>
      </c>
      <c r="F9" s="3" t="str">
        <f>CONTROLE_DIARIO!F10</f>
        <v>SIM</v>
      </c>
      <c r="G9" s="3" t="str">
        <f>CONTROLE_DIARIO!G10</f>
        <v>SIM</v>
      </c>
      <c r="H9" s="3" t="str">
        <f>CONTROLE_DIARIO!H10</f>
        <v>SIM</v>
      </c>
      <c r="I9" s="3" t="str">
        <f>CONTROLE_DIARIO!I10</f>
        <v>SIM</v>
      </c>
      <c r="J9" s="3" t="str">
        <f>CONTROLE_DIARIO!J10</f>
        <v>SIM</v>
      </c>
      <c r="K9" s="3" t="str">
        <f>CONTROLE_DIARIO!K10</f>
        <v>OK</v>
      </c>
      <c r="L9" s="51" t="str">
        <f>CONTROLE_DIARIO!L10</f>
        <v>OK</v>
      </c>
      <c r="M9" s="51">
        <f>CONTROLE_DIARIO!M10</f>
        <v>0</v>
      </c>
      <c r="N9" s="3" t="str">
        <f>CONTROLE_DIARIO!N10</f>
        <v>Qualidade</v>
      </c>
      <c r="O9" s="3" t="str">
        <f>CONTROLE_DIARIO!O10</f>
        <v>Cinthya</v>
      </c>
      <c r="P9" s="51" t="str">
        <f>CONTROLE_DIARIO!P10</f>
        <v>yyyy0507-Loja Pistão-3902</v>
      </c>
      <c r="Q9" s="6">
        <f t="shared" si="5"/>
        <v>1</v>
      </c>
      <c r="R9" s="54" t="str">
        <f t="shared" si="6"/>
        <v>OK</v>
      </c>
      <c r="S9" s="3" t="str">
        <f t="shared" si="7"/>
        <v>mai/yy</v>
      </c>
      <c r="T9" s="3">
        <f t="shared" si="8"/>
        <v>19</v>
      </c>
      <c r="U9" s="3">
        <f t="shared" si="9"/>
        <v>2026</v>
      </c>
      <c r="V9" s="6">
        <f t="shared" si="10"/>
        <v>1</v>
      </c>
      <c r="W9" s="3" t="str">
        <f t="shared" si="11"/>
        <v>OK</v>
      </c>
    </row>
    <row r="10" spans="1:23" x14ac:dyDescent="0.25">
      <c r="A10" s="2">
        <f>CONTROLE_DIARIO!A11</f>
        <v>46149</v>
      </c>
      <c r="B10" s="51" t="str">
        <f>CONTROLE_DIARIO!B11</f>
        <v>Loja Pistão</v>
      </c>
      <c r="C10" s="3">
        <f>CONTROLE_DIARIO!C11</f>
        <v>3903</v>
      </c>
      <c r="D10" s="3" t="str">
        <f>CONTROLE_DIARIO!D11</f>
        <v>João Lucas</v>
      </c>
      <c r="E10" s="3" t="str">
        <f>CONTROLE_DIARIO!E11</f>
        <v>Cancelado</v>
      </c>
      <c r="F10" s="3">
        <f>CONTROLE_DIARIO!F11</f>
        <v>0</v>
      </c>
      <c r="G10" s="3">
        <f>CONTROLE_DIARIO!G11</f>
        <v>0</v>
      </c>
      <c r="H10" s="3">
        <f>CONTROLE_DIARIO!H11</f>
        <v>0</v>
      </c>
      <c r="I10" s="3">
        <f>CONTROLE_DIARIO!I11</f>
        <v>0</v>
      </c>
      <c r="J10" s="3" t="str">
        <f>CONTROLE_DIARIO!J11</f>
        <v xml:space="preserve"> </v>
      </c>
      <c r="K10" s="3" t="str">
        <f>CONTROLE_DIARIO!K11</f>
        <v>NOK</v>
      </c>
      <c r="L10" s="51" t="str">
        <f>CONTROLE_DIARIO!L11</f>
        <v>Manifesto cancelado</v>
      </c>
      <c r="M10" s="51">
        <f>CONTROLE_DIARIO!M11</f>
        <v>0</v>
      </c>
      <c r="N10" s="3" t="str">
        <f>CONTROLE_DIARIO!N11</f>
        <v>Qualidade</v>
      </c>
      <c r="O10" s="3" t="str">
        <f>CONTROLE_DIARIO!O11</f>
        <v>Cinthya</v>
      </c>
      <c r="P10" s="51" t="str">
        <f>CONTROLE_DIARIO!P11</f>
        <v>yyyy0507-Loja Pistão-3903</v>
      </c>
      <c r="Q10" s="6">
        <f t="shared" si="5"/>
        <v>0</v>
      </c>
      <c r="R10" s="54" t="str">
        <f t="shared" si="6"/>
        <v>Manifesto Cancelado</v>
      </c>
      <c r="S10" s="3" t="str">
        <f t="shared" si="7"/>
        <v>mai/yy</v>
      </c>
      <c r="T10" s="3">
        <f t="shared" si="8"/>
        <v>19</v>
      </c>
      <c r="U10" s="3">
        <f t="shared" si="9"/>
        <v>2026</v>
      </c>
      <c r="V10" s="6">
        <f t="shared" si="10"/>
        <v>0</v>
      </c>
      <c r="W10" s="3" t="str">
        <f t="shared" si="11"/>
        <v>CRÍTICO</v>
      </c>
    </row>
    <row r="11" spans="1:23" x14ac:dyDescent="0.25">
      <c r="A11" s="2">
        <f>CONTROLE_DIARIO!A12</f>
        <v>46141</v>
      </c>
      <c r="B11" s="51" t="str">
        <f>CONTROLE_DIARIO!B12</f>
        <v>Loja ADE</v>
      </c>
      <c r="C11" s="3">
        <f>CONTROLE_DIARIO!C12</f>
        <v>3904</v>
      </c>
      <c r="D11" s="3" t="str">
        <f>CONTROLE_DIARIO!D12</f>
        <v>João Lucas</v>
      </c>
      <c r="E11" s="3" t="str">
        <f>CONTROLE_DIARIO!E12</f>
        <v>Entrega Total</v>
      </c>
      <c r="F11" s="3" t="str">
        <f>CONTROLE_DIARIO!F12</f>
        <v>SIM</v>
      </c>
      <c r="G11" s="3" t="str">
        <f>CONTROLE_DIARIO!G12</f>
        <v>SIM</v>
      </c>
      <c r="H11" s="3" t="str">
        <f>CONTROLE_DIARIO!H12</f>
        <v>SIM</v>
      </c>
      <c r="I11" s="3" t="str">
        <f>CONTROLE_DIARIO!I12</f>
        <v>SIM</v>
      </c>
      <c r="J11" s="3" t="str">
        <f>CONTROLE_DIARIO!J12</f>
        <v>SIM</v>
      </c>
      <c r="K11" s="3" t="str">
        <f>CONTROLE_DIARIO!K12</f>
        <v>OK</v>
      </c>
      <c r="L11" s="51" t="str">
        <f>CONTROLE_DIARIO!L12</f>
        <v>Sem foto fachada</v>
      </c>
      <c r="M11" s="51">
        <f>CONTROLE_DIARIO!M12</f>
        <v>0</v>
      </c>
      <c r="N11" s="3" t="str">
        <f>CONTROLE_DIARIO!N12</f>
        <v>Qualidade</v>
      </c>
      <c r="O11" s="3" t="str">
        <f>CONTROLE_DIARIO!O12</f>
        <v>Danilo</v>
      </c>
      <c r="P11" s="51" t="str">
        <f>CONTROLE_DIARIO!P12</f>
        <v>yyyy0429-Loja ADE-3904</v>
      </c>
      <c r="Q11" s="6">
        <f t="shared" si="5"/>
        <v>1</v>
      </c>
      <c r="R11" s="54" t="str">
        <f t="shared" si="6"/>
        <v>OK</v>
      </c>
      <c r="S11" s="3" t="str">
        <f t="shared" si="7"/>
        <v>abr/yy</v>
      </c>
      <c r="T11" s="3">
        <f t="shared" si="8"/>
        <v>18</v>
      </c>
      <c r="U11" s="3">
        <f t="shared" si="9"/>
        <v>2026</v>
      </c>
      <c r="V11" s="6">
        <f t="shared" si="10"/>
        <v>1</v>
      </c>
      <c r="W11" s="3" t="str">
        <f t="shared" si="11"/>
        <v>OK</v>
      </c>
    </row>
    <row r="12" spans="1:23" x14ac:dyDescent="0.25">
      <c r="A12" s="2">
        <f>CONTROLE_DIARIO!A13</f>
        <v>46141</v>
      </c>
      <c r="B12" s="51" t="str">
        <f>CONTROLE_DIARIO!B13</f>
        <v>Loja ADE</v>
      </c>
      <c r="C12" s="3">
        <f>CONTROLE_DIARIO!C13</f>
        <v>3905</v>
      </c>
      <c r="D12" s="3" t="str">
        <f>CONTROLE_DIARIO!D13</f>
        <v>João Lucas</v>
      </c>
      <c r="E12" s="3" t="str">
        <f>CONTROLE_DIARIO!E13</f>
        <v>Entrega Total</v>
      </c>
      <c r="F12" s="3" t="str">
        <f>CONTROLE_DIARIO!F13</f>
        <v>SIM</v>
      </c>
      <c r="G12" s="3" t="str">
        <f>CONTROLE_DIARIO!G13</f>
        <v>SIM</v>
      </c>
      <c r="H12" s="3" t="str">
        <f>CONTROLE_DIARIO!H13</f>
        <v>NÃO</v>
      </c>
      <c r="I12" s="3" t="str">
        <f>CONTROLE_DIARIO!I13</f>
        <v>SIM</v>
      </c>
      <c r="J12" s="3" t="str">
        <f>CONTROLE_DIARIO!J13</f>
        <v>NÃO</v>
      </c>
      <c r="K12" s="3" t="str">
        <f>CONTROLE_DIARIO!K13</f>
        <v>NOK</v>
      </c>
      <c r="L12" s="51" t="str">
        <f>CONTROLE_DIARIO!L13</f>
        <v>Sem assinatura</v>
      </c>
      <c r="M12" s="51">
        <f>CONTROLE_DIARIO!M13</f>
        <v>0</v>
      </c>
      <c r="N12" s="3" t="str">
        <f>CONTROLE_DIARIO!N13</f>
        <v>Qualidade</v>
      </c>
      <c r="O12" s="3" t="str">
        <f>CONTROLE_DIARIO!O13</f>
        <v>Danilo</v>
      </c>
      <c r="P12" s="51" t="str">
        <f>CONTROLE_DIARIO!P13</f>
        <v>yyyy0429-Loja ADE-3905</v>
      </c>
      <c r="Q12" s="6">
        <f t="shared" si="5"/>
        <v>0.6</v>
      </c>
      <c r="R12" s="54" t="str">
        <f t="shared" si="6"/>
        <v>Sem assinatura</v>
      </c>
      <c r="S12" s="3" t="str">
        <f t="shared" si="7"/>
        <v>abr/yy</v>
      </c>
      <c r="T12" s="3">
        <f t="shared" si="8"/>
        <v>18</v>
      </c>
      <c r="U12" s="3">
        <f t="shared" si="9"/>
        <v>2026</v>
      </c>
      <c r="V12" s="6">
        <f t="shared" si="10"/>
        <v>0.6</v>
      </c>
      <c r="W12" s="3" t="str">
        <f t="shared" si="11"/>
        <v>CRÍTICO</v>
      </c>
    </row>
    <row r="13" spans="1:23" x14ac:dyDescent="0.25">
      <c r="A13" s="2">
        <f>CONTROLE_DIARIO!A14</f>
        <v>46141</v>
      </c>
      <c r="B13" s="51" t="str">
        <f>CONTROLE_DIARIO!B14</f>
        <v>Loja ADE</v>
      </c>
      <c r="C13" s="3">
        <f>CONTROLE_DIARIO!C14</f>
        <v>3906</v>
      </c>
      <c r="D13" s="3" t="str">
        <f>CONTROLE_DIARIO!D14</f>
        <v>João Lucas</v>
      </c>
      <c r="E13" s="3" t="str">
        <f>CONTROLE_DIARIO!E14</f>
        <v>Entrega Total</v>
      </c>
      <c r="F13" s="3" t="str">
        <f>CONTROLE_DIARIO!F14</f>
        <v>SIM</v>
      </c>
      <c r="G13" s="3" t="str">
        <f>CONTROLE_DIARIO!G14</f>
        <v>SIM</v>
      </c>
      <c r="H13" s="3" t="str">
        <f>CONTROLE_DIARIO!H14</f>
        <v>SIM</v>
      </c>
      <c r="I13" s="3" t="str">
        <f>CONTROLE_DIARIO!I14</f>
        <v>SIM</v>
      </c>
      <c r="J13" s="3" t="str">
        <f>CONTROLE_DIARIO!J14</f>
        <v>SIM</v>
      </c>
      <c r="K13" s="3" t="str">
        <f>CONTROLE_DIARIO!K14</f>
        <v>OK</v>
      </c>
      <c r="L13" s="51" t="str">
        <f>CONTROLE_DIARIO!L14</f>
        <v>OK</v>
      </c>
      <c r="M13" s="51">
        <f>CONTROLE_DIARIO!M14</f>
        <v>0</v>
      </c>
      <c r="N13" s="3" t="str">
        <f>CONTROLE_DIARIO!N14</f>
        <v>Qualidade</v>
      </c>
      <c r="O13" s="3" t="str">
        <f>CONTROLE_DIARIO!O14</f>
        <v>Danilo</v>
      </c>
      <c r="P13" s="51" t="str">
        <f>CONTROLE_DIARIO!P14</f>
        <v>yyyy0429-Loja ADE-3906</v>
      </c>
      <c r="Q13" s="6">
        <f t="shared" si="5"/>
        <v>1</v>
      </c>
      <c r="R13" s="54" t="str">
        <f t="shared" si="6"/>
        <v>OK</v>
      </c>
      <c r="S13" s="3" t="str">
        <f t="shared" si="7"/>
        <v>abr/yy</v>
      </c>
      <c r="T13" s="3">
        <f t="shared" si="8"/>
        <v>18</v>
      </c>
      <c r="U13" s="3">
        <f t="shared" si="9"/>
        <v>2026</v>
      </c>
      <c r="V13" s="6">
        <f t="shared" si="10"/>
        <v>1</v>
      </c>
      <c r="W13" s="3" t="str">
        <f t="shared" si="11"/>
        <v>OK</v>
      </c>
    </row>
    <row r="14" spans="1:23" x14ac:dyDescent="0.25">
      <c r="A14" s="2">
        <f>CONTROLE_DIARIO!A15</f>
        <v>46141</v>
      </c>
      <c r="B14" s="51" t="str">
        <f>CONTROLE_DIARIO!B15</f>
        <v>Loja ADE</v>
      </c>
      <c r="C14" s="3">
        <f>CONTROLE_DIARIO!C15</f>
        <v>3907</v>
      </c>
      <c r="D14" s="3" t="str">
        <f>CONTROLE_DIARIO!D15</f>
        <v>João Lucas</v>
      </c>
      <c r="E14" s="3" t="str">
        <f>CONTROLE_DIARIO!E15</f>
        <v>Entrega Total</v>
      </c>
      <c r="F14" s="3" t="str">
        <f>CONTROLE_DIARIO!F15</f>
        <v>SIM</v>
      </c>
      <c r="G14" s="3" t="str">
        <f>CONTROLE_DIARIO!G15</f>
        <v>SIM</v>
      </c>
      <c r="H14" s="3" t="str">
        <f>CONTROLE_DIARIO!H15</f>
        <v>SIM</v>
      </c>
      <c r="I14" s="3" t="str">
        <f>CONTROLE_DIARIO!I15</f>
        <v>SIM</v>
      </c>
      <c r="J14" s="3" t="str">
        <f>CONTROLE_DIARIO!J15</f>
        <v>SIM</v>
      </c>
      <c r="K14" s="3" t="str">
        <f>CONTROLE_DIARIO!K15</f>
        <v>OK</v>
      </c>
      <c r="L14" s="51" t="str">
        <f>CONTROLE_DIARIO!L15</f>
        <v>OK</v>
      </c>
      <c r="M14" s="51">
        <f>CONTROLE_DIARIO!M15</f>
        <v>0</v>
      </c>
      <c r="N14" s="3" t="str">
        <f>CONTROLE_DIARIO!N15</f>
        <v>Qualidade</v>
      </c>
      <c r="O14" s="3" t="str">
        <f>CONTROLE_DIARIO!O15</f>
        <v>Danilo</v>
      </c>
      <c r="P14" s="51" t="str">
        <f>CONTROLE_DIARIO!P15</f>
        <v>yyyy0429-Loja ADE-3907</v>
      </c>
      <c r="Q14" s="6">
        <f t="shared" si="5"/>
        <v>1</v>
      </c>
      <c r="R14" s="54" t="str">
        <f t="shared" si="6"/>
        <v>OK</v>
      </c>
      <c r="S14" s="3" t="str">
        <f t="shared" si="7"/>
        <v>abr/yy</v>
      </c>
      <c r="T14" s="3">
        <f t="shared" si="8"/>
        <v>18</v>
      </c>
      <c r="U14" s="3">
        <f t="shared" si="9"/>
        <v>2026</v>
      </c>
      <c r="V14" s="6">
        <f t="shared" si="10"/>
        <v>1</v>
      </c>
      <c r="W14" s="3" t="str">
        <f t="shared" si="11"/>
        <v>OK</v>
      </c>
    </row>
    <row r="15" spans="1:23" x14ac:dyDescent="0.25">
      <c r="A15" s="2">
        <f>CONTROLE_DIARIO!A16</f>
        <v>46149</v>
      </c>
      <c r="B15" s="51" t="str">
        <f>CONTROLE_DIARIO!B16</f>
        <v>Loja Valparaiso</v>
      </c>
      <c r="C15" s="3">
        <f>CONTROLE_DIARIO!C16</f>
        <v>3908</v>
      </c>
      <c r="D15" s="3" t="str">
        <f>CONTROLE_DIARIO!D16</f>
        <v>Wederson C.</v>
      </c>
      <c r="E15" s="3" t="str">
        <f>CONTROLE_DIARIO!E16</f>
        <v>Entrega Total</v>
      </c>
      <c r="F15" s="3" t="str">
        <f>CONTROLE_DIARIO!F16</f>
        <v>SIM</v>
      </c>
      <c r="G15" s="3" t="str">
        <f>CONTROLE_DIARIO!G16</f>
        <v>SIM</v>
      </c>
      <c r="H15" s="3" t="str">
        <f>CONTROLE_DIARIO!H16</f>
        <v>SIM</v>
      </c>
      <c r="I15" s="3" t="str">
        <f>CONTROLE_DIARIO!I16</f>
        <v>SIM</v>
      </c>
      <c r="J15" s="3" t="str">
        <f>CONTROLE_DIARIO!J16</f>
        <v>SIM</v>
      </c>
      <c r="K15" s="3" t="str">
        <f>CONTROLE_DIARIO!K16</f>
        <v>OK</v>
      </c>
      <c r="L15" s="51" t="str">
        <f>CONTROLE_DIARIO!L16</f>
        <v>Sem foto fachada</v>
      </c>
      <c r="M15" s="51">
        <f>CONTROLE_DIARIO!M16</f>
        <v>0</v>
      </c>
      <c r="N15" s="3" t="str">
        <f>CONTROLE_DIARIO!N16</f>
        <v>Qualidade</v>
      </c>
      <c r="O15" s="3" t="str">
        <f>CONTROLE_DIARIO!O16</f>
        <v>Cleonice</v>
      </c>
      <c r="P15" s="51" t="str">
        <f>CONTROLE_DIARIO!P16</f>
        <v>yyyy0507-Loja Valparaiso-3908</v>
      </c>
      <c r="Q15" s="6">
        <f t="shared" si="5"/>
        <v>1</v>
      </c>
      <c r="R15" s="54" t="str">
        <f t="shared" si="6"/>
        <v>OK</v>
      </c>
      <c r="S15" s="3" t="str">
        <f t="shared" si="7"/>
        <v>mai/yy</v>
      </c>
      <c r="T15" s="3">
        <f t="shared" si="8"/>
        <v>19</v>
      </c>
      <c r="U15" s="3">
        <f t="shared" si="9"/>
        <v>2026</v>
      </c>
      <c r="V15" s="6">
        <f t="shared" si="10"/>
        <v>1</v>
      </c>
      <c r="W15" s="3" t="str">
        <f t="shared" si="11"/>
        <v>OK</v>
      </c>
    </row>
    <row r="16" spans="1:23" x14ac:dyDescent="0.25">
      <c r="A16" s="2">
        <f>CONTROLE_DIARIO!A17</f>
        <v>46149</v>
      </c>
      <c r="B16" s="51" t="str">
        <f>CONTROLE_DIARIO!B17</f>
        <v>Loja Valparaiso</v>
      </c>
      <c r="C16" s="3">
        <f>CONTROLE_DIARIO!C17</f>
        <v>3909</v>
      </c>
      <c r="D16" s="3" t="str">
        <f>CONTROLE_DIARIO!D17</f>
        <v>Wederson C.</v>
      </c>
      <c r="E16" s="3" t="str">
        <f>CONTROLE_DIARIO!E17</f>
        <v>Entrega Total</v>
      </c>
      <c r="F16" s="3" t="str">
        <f>CONTROLE_DIARIO!F17</f>
        <v>SIM</v>
      </c>
      <c r="G16" s="3" t="str">
        <f>CONTROLE_DIARIO!G17</f>
        <v>SIM</v>
      </c>
      <c r="H16" s="3" t="str">
        <f>CONTROLE_DIARIO!H17</f>
        <v>SIM</v>
      </c>
      <c r="I16" s="3" t="str">
        <f>CONTROLE_DIARIO!I17</f>
        <v>SIM</v>
      </c>
      <c r="J16" s="3" t="str">
        <f>CONTROLE_DIARIO!J17</f>
        <v>SIM</v>
      </c>
      <c r="K16" s="3" t="str">
        <f>CONTROLE_DIARIO!K17</f>
        <v>OK</v>
      </c>
      <c r="L16" s="51" t="str">
        <f>CONTROLE_DIARIO!L17</f>
        <v>Sem foto fachada</v>
      </c>
      <c r="M16" s="51">
        <f>CONTROLE_DIARIO!M17</f>
        <v>0</v>
      </c>
      <c r="N16" s="3" t="str">
        <f>CONTROLE_DIARIO!N17</f>
        <v>Qualidade</v>
      </c>
      <c r="O16" s="3" t="str">
        <f>CONTROLE_DIARIO!O17</f>
        <v>Cleonice</v>
      </c>
      <c r="P16" s="51" t="str">
        <f>CONTROLE_DIARIO!P17</f>
        <v>yyyy0507-Loja Valparaiso-3909</v>
      </c>
      <c r="Q16" s="6">
        <f t="shared" si="5"/>
        <v>1</v>
      </c>
      <c r="R16" s="54" t="str">
        <f t="shared" si="6"/>
        <v>OK</v>
      </c>
      <c r="S16" s="3" t="str">
        <f t="shared" si="7"/>
        <v>mai/yy</v>
      </c>
      <c r="T16" s="3">
        <f t="shared" si="8"/>
        <v>19</v>
      </c>
      <c r="U16" s="3">
        <f t="shared" si="9"/>
        <v>2026</v>
      </c>
      <c r="V16" s="6">
        <f t="shared" si="10"/>
        <v>1</v>
      </c>
      <c r="W16" s="3" t="str">
        <f t="shared" si="11"/>
        <v>OK</v>
      </c>
    </row>
    <row r="17" spans="1:23" x14ac:dyDescent="0.25">
      <c r="A17" s="2">
        <f>CONTROLE_DIARIO!A18</f>
        <v>46149</v>
      </c>
      <c r="B17" s="51" t="str">
        <f>CONTROLE_DIARIO!B18</f>
        <v>Loja Valparaiso</v>
      </c>
      <c r="C17" s="3">
        <f>CONTROLE_DIARIO!C18</f>
        <v>3910</v>
      </c>
      <c r="D17" s="3" t="str">
        <f>CONTROLE_DIARIO!D18</f>
        <v>Wederson C.</v>
      </c>
      <c r="E17" s="3" t="str">
        <f>CONTROLE_DIARIO!E18</f>
        <v>Entrega Total</v>
      </c>
      <c r="F17" s="3" t="str">
        <f>CONTROLE_DIARIO!F18</f>
        <v>SIM</v>
      </c>
      <c r="G17" s="3" t="str">
        <f>CONTROLE_DIARIO!G18</f>
        <v>SIM</v>
      </c>
      <c r="H17" s="3" t="str">
        <f>CONTROLE_DIARIO!H18</f>
        <v>SIM</v>
      </c>
      <c r="I17" s="3" t="str">
        <f>CONTROLE_DIARIO!I18</f>
        <v>SIM</v>
      </c>
      <c r="J17" s="3" t="str">
        <f>CONTROLE_DIARIO!J18</f>
        <v>SIM</v>
      </c>
      <c r="K17" s="3" t="str">
        <f>CONTROLE_DIARIO!K18</f>
        <v>OK</v>
      </c>
      <c r="L17" s="51" t="str">
        <f>CONTROLE_DIARIO!L18</f>
        <v>Sem foto fachada</v>
      </c>
      <c r="M17" s="51">
        <f>CONTROLE_DIARIO!M18</f>
        <v>0</v>
      </c>
      <c r="N17" s="3" t="str">
        <f>CONTROLE_DIARIO!N18</f>
        <v>Qualidade</v>
      </c>
      <c r="O17" s="3" t="str">
        <f>CONTROLE_DIARIO!O18</f>
        <v>Cleonice</v>
      </c>
      <c r="P17" s="51" t="str">
        <f>CONTROLE_DIARIO!P18</f>
        <v>yyyy0507-Loja Valparaiso-3910</v>
      </c>
      <c r="Q17" s="6">
        <f t="shared" si="5"/>
        <v>1</v>
      </c>
      <c r="R17" s="54" t="str">
        <f t="shared" si="6"/>
        <v>OK</v>
      </c>
      <c r="S17" s="3" t="str">
        <f t="shared" si="7"/>
        <v>mai/yy</v>
      </c>
      <c r="T17" s="3">
        <f t="shared" si="8"/>
        <v>19</v>
      </c>
      <c r="U17" s="3">
        <f t="shared" si="9"/>
        <v>2026</v>
      </c>
      <c r="V17" s="6">
        <f t="shared" si="10"/>
        <v>1</v>
      </c>
      <c r="W17" s="3" t="str">
        <f t="shared" si="11"/>
        <v>OK</v>
      </c>
    </row>
    <row r="18" spans="1:23" x14ac:dyDescent="0.25">
      <c r="A18" s="2">
        <f>CONTROLE_DIARIO!A19</f>
        <v>46149</v>
      </c>
      <c r="B18" s="51" t="str">
        <f>CONTROLE_DIARIO!B19</f>
        <v>Loja Valparaiso</v>
      </c>
      <c r="C18" s="3">
        <f>CONTROLE_DIARIO!C19</f>
        <v>3911</v>
      </c>
      <c r="D18" s="3" t="str">
        <f>CONTROLE_DIARIO!D19</f>
        <v>Wederson C.</v>
      </c>
      <c r="E18" s="3" t="str">
        <f>CONTROLE_DIARIO!E19</f>
        <v>Entrega Total</v>
      </c>
      <c r="F18" s="3" t="str">
        <f>CONTROLE_DIARIO!F19</f>
        <v>SIM</v>
      </c>
      <c r="G18" s="3" t="str">
        <f>CONTROLE_DIARIO!G19</f>
        <v>SIM</v>
      </c>
      <c r="H18" s="3" t="str">
        <f>CONTROLE_DIARIO!H19</f>
        <v>SIM</v>
      </c>
      <c r="I18" s="3" t="str">
        <f>CONTROLE_DIARIO!I19</f>
        <v>SIM</v>
      </c>
      <c r="J18" s="3" t="str">
        <f>CONTROLE_DIARIO!J19</f>
        <v>SIM</v>
      </c>
      <c r="K18" s="3" t="str">
        <f>CONTROLE_DIARIO!K19</f>
        <v>OK</v>
      </c>
      <c r="L18" s="51" t="str">
        <f>CONTROLE_DIARIO!L19</f>
        <v>Sem foto fachada</v>
      </c>
      <c r="M18" s="51">
        <f>CONTROLE_DIARIO!M19</f>
        <v>0</v>
      </c>
      <c r="N18" s="3" t="str">
        <f>CONTROLE_DIARIO!N19</f>
        <v>Qualidade</v>
      </c>
      <c r="O18" s="3" t="str">
        <f>CONTROLE_DIARIO!O19</f>
        <v>Cleonice</v>
      </c>
      <c r="P18" s="51" t="str">
        <f>CONTROLE_DIARIO!P19</f>
        <v>yyyy0507-Loja Valparaiso-3911</v>
      </c>
      <c r="Q18" s="6">
        <f t="shared" si="5"/>
        <v>1</v>
      </c>
      <c r="R18" s="54" t="str">
        <f t="shared" si="6"/>
        <v>OK</v>
      </c>
      <c r="S18" s="3" t="str">
        <f t="shared" si="7"/>
        <v>mai/yy</v>
      </c>
      <c r="T18" s="3">
        <f t="shared" si="8"/>
        <v>19</v>
      </c>
      <c r="U18" s="3">
        <f t="shared" si="9"/>
        <v>2026</v>
      </c>
      <c r="V18" s="6">
        <f t="shared" si="10"/>
        <v>1</v>
      </c>
      <c r="W18" s="3" t="str">
        <f t="shared" si="11"/>
        <v>OK</v>
      </c>
    </row>
    <row r="19" spans="1:23" x14ac:dyDescent="0.25">
      <c r="A19" s="2">
        <f>CONTROLE_DIARIO!A20</f>
        <v>46149</v>
      </c>
      <c r="B19" s="51" t="str">
        <f>CONTROLE_DIARIO!B20</f>
        <v>Loja Valparaiso</v>
      </c>
      <c r="C19" s="3">
        <f>CONTROLE_DIARIO!C20</f>
        <v>3912</v>
      </c>
      <c r="D19" s="3" t="str">
        <f>CONTROLE_DIARIO!D20</f>
        <v>Wederson C.</v>
      </c>
      <c r="E19" s="3" t="str">
        <f>CONTROLE_DIARIO!E20</f>
        <v>Cancelado</v>
      </c>
      <c r="F19" s="3">
        <f>CONTROLE_DIARIO!F20</f>
        <v>0</v>
      </c>
      <c r="G19" s="3">
        <f>CONTROLE_DIARIO!G20</f>
        <v>0</v>
      </c>
      <c r="H19" s="3">
        <f>CONTROLE_DIARIO!H20</f>
        <v>0</v>
      </c>
      <c r="I19" s="3">
        <f>CONTROLE_DIARIO!I20</f>
        <v>0</v>
      </c>
      <c r="J19" s="3" t="str">
        <f>CONTROLE_DIARIO!J20</f>
        <v xml:space="preserve"> </v>
      </c>
      <c r="K19" s="3" t="str">
        <f>CONTROLE_DIARIO!K20</f>
        <v>NOK</v>
      </c>
      <c r="L19" s="51" t="str">
        <f>CONTROLE_DIARIO!L20</f>
        <v>Manifesto cancelado</v>
      </c>
      <c r="M19" s="51">
        <f>CONTROLE_DIARIO!M20</f>
        <v>0</v>
      </c>
      <c r="N19" s="3" t="str">
        <f>CONTROLE_DIARIO!N20</f>
        <v>Qualidade</v>
      </c>
      <c r="O19" s="3" t="str">
        <f>CONTROLE_DIARIO!O20</f>
        <v>Cleonice</v>
      </c>
      <c r="P19" s="51" t="str">
        <f>CONTROLE_DIARIO!P20</f>
        <v>yyyy0507-Loja Valparaiso-3912</v>
      </c>
      <c r="Q19" s="6">
        <f t="shared" si="5"/>
        <v>0</v>
      </c>
      <c r="R19" s="54" t="str">
        <f t="shared" si="6"/>
        <v>Manifesto Cancelado</v>
      </c>
      <c r="S19" s="3" t="str">
        <f t="shared" si="7"/>
        <v>mai/yy</v>
      </c>
      <c r="T19" s="3">
        <f t="shared" si="8"/>
        <v>19</v>
      </c>
      <c r="U19" s="3">
        <f t="shared" si="9"/>
        <v>2026</v>
      </c>
      <c r="V19" s="6">
        <f t="shared" si="10"/>
        <v>0</v>
      </c>
      <c r="W19" s="3" t="str">
        <f t="shared" si="11"/>
        <v>CRÍTICO</v>
      </c>
    </row>
    <row r="20" spans="1:23" x14ac:dyDescent="0.25">
      <c r="A20" s="2">
        <f>CONTROLE_DIARIO!A21</f>
        <v>46149</v>
      </c>
      <c r="B20" s="51" t="str">
        <f>CONTROLE_DIARIO!B21</f>
        <v>Loja Valparaiso</v>
      </c>
      <c r="C20" s="3">
        <f>CONTROLE_DIARIO!C21</f>
        <v>3913</v>
      </c>
      <c r="D20" s="3" t="str">
        <f>CONTROLE_DIARIO!D21</f>
        <v>J. Alessandro</v>
      </c>
      <c r="E20" s="3" t="str">
        <f>CONTROLE_DIARIO!E21</f>
        <v>Entrega Total</v>
      </c>
      <c r="F20" s="3" t="str">
        <f>CONTROLE_DIARIO!F21</f>
        <v>NÃO</v>
      </c>
      <c r="G20" s="3" t="str">
        <f>CONTROLE_DIARIO!G21</f>
        <v>NÃO</v>
      </c>
      <c r="H20" s="3" t="str">
        <f>CONTROLE_DIARIO!H21</f>
        <v>NÃO</v>
      </c>
      <c r="I20" s="3" t="str">
        <f>CONTROLE_DIARIO!I21</f>
        <v>SIM</v>
      </c>
      <c r="J20" s="3" t="str">
        <f>CONTROLE_DIARIO!J21</f>
        <v>NÃO</v>
      </c>
      <c r="K20" s="3" t="str">
        <f>CONTROLE_DIARIO!K21</f>
        <v>NOK</v>
      </c>
      <c r="L20" s="51" t="str">
        <f>CONTROLE_DIARIO!L21</f>
        <v>Outro</v>
      </c>
      <c r="M20" s="51" t="str">
        <f>CONTROLE_DIARIO!M21</f>
        <v>Manifesto não entregue pelo app</v>
      </c>
      <c r="N20" s="3" t="str">
        <f>CONTROLE_DIARIO!N21</f>
        <v>Qualidade</v>
      </c>
      <c r="O20" s="3" t="str">
        <f>CONTROLE_DIARIO!O21</f>
        <v>Cleonice</v>
      </c>
      <c r="P20" s="51" t="str">
        <f>CONTROLE_DIARIO!P21</f>
        <v>yyyy0507-Loja Valparaiso-3913</v>
      </c>
      <c r="Q20" s="6">
        <f t="shared" si="5"/>
        <v>0.3</v>
      </c>
      <c r="R20" s="54" t="str">
        <f t="shared" si="6"/>
        <v>FORA APP</v>
      </c>
      <c r="S20" s="3" t="str">
        <f t="shared" si="7"/>
        <v>mai/yy</v>
      </c>
      <c r="T20" s="3">
        <f t="shared" si="8"/>
        <v>19</v>
      </c>
      <c r="U20" s="3">
        <f t="shared" si="9"/>
        <v>2026</v>
      </c>
      <c r="V20" s="6">
        <f t="shared" si="10"/>
        <v>0.3</v>
      </c>
      <c r="W20" s="3" t="str">
        <f t="shared" si="11"/>
        <v>CRÍTICO</v>
      </c>
    </row>
    <row r="21" spans="1:23" x14ac:dyDescent="0.25">
      <c r="A21" s="2">
        <f>CONTROLE_DIARIO!A22</f>
        <v>46149</v>
      </c>
      <c r="B21" s="51" t="str">
        <f>CONTROLE_DIARIO!B22</f>
        <v>Loja Valparaiso</v>
      </c>
      <c r="C21" s="3">
        <f>CONTROLE_DIARIO!C22</f>
        <v>3914</v>
      </c>
      <c r="D21" s="3" t="str">
        <f>CONTROLE_DIARIO!D22</f>
        <v>Wederson C.</v>
      </c>
      <c r="E21" s="3" t="str">
        <f>CONTROLE_DIARIO!E22</f>
        <v>Entrega Total</v>
      </c>
      <c r="F21" s="3" t="str">
        <f>CONTROLE_DIARIO!F22</f>
        <v>SIM</v>
      </c>
      <c r="G21" s="3" t="str">
        <f>CONTROLE_DIARIO!G22</f>
        <v>SIM</v>
      </c>
      <c r="H21" s="3" t="str">
        <f>CONTROLE_DIARIO!H22</f>
        <v>SIM</v>
      </c>
      <c r="I21" s="3" t="str">
        <f>CONTROLE_DIARIO!I22</f>
        <v>SIM</v>
      </c>
      <c r="J21" s="3" t="str">
        <f>CONTROLE_DIARIO!J22</f>
        <v>SIM</v>
      </c>
      <c r="K21" s="3" t="str">
        <f>CONTROLE_DIARIO!K22</f>
        <v>OK</v>
      </c>
      <c r="L21" s="51" t="str">
        <f>CONTROLE_DIARIO!L22</f>
        <v>Sem foto fachada</v>
      </c>
      <c r="M21" s="51">
        <f>CONTROLE_DIARIO!M22</f>
        <v>0</v>
      </c>
      <c r="N21" s="3" t="str">
        <f>CONTROLE_DIARIO!N22</f>
        <v>Qualidade</v>
      </c>
      <c r="O21" s="3" t="str">
        <f>CONTROLE_DIARIO!O22</f>
        <v>Cleonice</v>
      </c>
      <c r="P21" s="51" t="str">
        <f>CONTROLE_DIARIO!P22</f>
        <v>yyyy0507-Loja Valparaiso-3914</v>
      </c>
      <c r="Q21" s="6">
        <f t="shared" si="5"/>
        <v>1</v>
      </c>
      <c r="R21" s="54" t="str">
        <f t="shared" si="6"/>
        <v>OK</v>
      </c>
      <c r="S21" s="3" t="str">
        <f t="shared" si="7"/>
        <v>mai/yy</v>
      </c>
      <c r="T21" s="3">
        <f t="shared" si="8"/>
        <v>19</v>
      </c>
      <c r="U21" s="3">
        <f t="shared" si="9"/>
        <v>2026</v>
      </c>
      <c r="V21" s="6">
        <f t="shared" si="10"/>
        <v>1</v>
      </c>
      <c r="W21" s="3" t="str">
        <f t="shared" si="11"/>
        <v>OK</v>
      </c>
    </row>
    <row r="22" spans="1:23" x14ac:dyDescent="0.25">
      <c r="A22" s="2">
        <f>CONTROLE_DIARIO!A23</f>
        <v>46149</v>
      </c>
      <c r="B22" s="51" t="str">
        <f>CONTROLE_DIARIO!B23</f>
        <v>Loja Valparaiso</v>
      </c>
      <c r="C22" s="3">
        <f>CONTROLE_DIARIO!C23</f>
        <v>3915</v>
      </c>
      <c r="D22" s="3" t="str">
        <f>CONTROLE_DIARIO!D23</f>
        <v>Wederson C.</v>
      </c>
      <c r="E22" s="3" t="str">
        <f>CONTROLE_DIARIO!E23</f>
        <v>Entrega Total</v>
      </c>
      <c r="F22" s="3" t="str">
        <f>CONTROLE_DIARIO!F23</f>
        <v>NÃO</v>
      </c>
      <c r="G22" s="3" t="str">
        <f>CONTROLE_DIARIO!G23</f>
        <v>NÃO</v>
      </c>
      <c r="H22" s="3" t="str">
        <f>CONTROLE_DIARIO!H23</f>
        <v>NÃO</v>
      </c>
      <c r="I22" s="3" t="str">
        <f>CONTROLE_DIARIO!I23</f>
        <v>SIM</v>
      </c>
      <c r="J22" s="3" t="str">
        <f>CONTROLE_DIARIO!J23</f>
        <v>NÃO</v>
      </c>
      <c r="K22" s="3" t="str">
        <f>CONTROLE_DIARIO!K23</f>
        <v>NOK</v>
      </c>
      <c r="L22" s="51" t="str">
        <f>CONTROLE_DIARIO!L23</f>
        <v>Outro</v>
      </c>
      <c r="M22" s="51" t="str">
        <f>CONTROLE_DIARIO!M23</f>
        <v>Manifesto não entregue pelo app</v>
      </c>
      <c r="N22" s="3" t="str">
        <f>CONTROLE_DIARIO!N23</f>
        <v>Qualidade</v>
      </c>
      <c r="O22" s="3" t="str">
        <f>CONTROLE_DIARIO!O23</f>
        <v>Cleonice</v>
      </c>
      <c r="P22" s="51" t="str">
        <f>CONTROLE_DIARIO!P23</f>
        <v>yyyy0507-Loja Valparaiso-3915</v>
      </c>
      <c r="Q22" s="6">
        <f t="shared" si="5"/>
        <v>0.3</v>
      </c>
      <c r="R22" s="54" t="str">
        <f t="shared" si="6"/>
        <v>FORA APP</v>
      </c>
      <c r="S22" s="3" t="str">
        <f t="shared" si="7"/>
        <v>mai/yy</v>
      </c>
      <c r="T22" s="3">
        <f t="shared" si="8"/>
        <v>19</v>
      </c>
      <c r="U22" s="3">
        <f t="shared" si="9"/>
        <v>2026</v>
      </c>
      <c r="V22" s="6">
        <f t="shared" si="10"/>
        <v>0.3</v>
      </c>
      <c r="W22" s="3" t="str">
        <f t="shared" si="11"/>
        <v>CRÍTICO</v>
      </c>
    </row>
    <row r="23" spans="1:23" x14ac:dyDescent="0.25">
      <c r="A23" s="2">
        <f>CONTROLE_DIARIO!A24</f>
        <v>46149</v>
      </c>
      <c r="B23" s="51" t="str">
        <f>CONTROLE_DIARIO!B24</f>
        <v>Loja Pistão</v>
      </c>
      <c r="C23" s="3">
        <f>CONTROLE_DIARIO!C24</f>
        <v>3916</v>
      </c>
      <c r="D23" s="3" t="str">
        <f>CONTROLE_DIARIO!D24</f>
        <v>João Lucas</v>
      </c>
      <c r="E23" s="3" t="str">
        <f>CONTROLE_DIARIO!E24</f>
        <v>Entrega Total</v>
      </c>
      <c r="F23" s="3" t="str">
        <f>CONTROLE_DIARIO!F24</f>
        <v>SIM</v>
      </c>
      <c r="G23" s="3" t="str">
        <f>CONTROLE_DIARIO!G24</f>
        <v>SIM</v>
      </c>
      <c r="H23" s="3" t="str">
        <f>CONTROLE_DIARIO!H24</f>
        <v>SIM</v>
      </c>
      <c r="I23" s="3" t="str">
        <f>CONTROLE_DIARIO!I24</f>
        <v>SIM</v>
      </c>
      <c r="J23" s="3" t="str">
        <f>CONTROLE_DIARIO!J24</f>
        <v>SIM</v>
      </c>
      <c r="K23" s="3" t="str">
        <f>CONTROLE_DIARIO!K24</f>
        <v>OK</v>
      </c>
      <c r="L23" s="51" t="str">
        <f>CONTROLE_DIARIO!L24</f>
        <v>OK</v>
      </c>
      <c r="M23" s="51">
        <f>CONTROLE_DIARIO!M24</f>
        <v>0</v>
      </c>
      <c r="N23" s="3" t="str">
        <f>CONTROLE_DIARIO!N24</f>
        <v>Qualidade</v>
      </c>
      <c r="O23" s="3" t="str">
        <f>CONTROLE_DIARIO!O24</f>
        <v>Cinthya</v>
      </c>
      <c r="P23" s="51" t="str">
        <f>CONTROLE_DIARIO!P24</f>
        <v>yyyy0507-Loja Pistão-3916</v>
      </c>
      <c r="Q23" s="6">
        <f t="shared" si="5"/>
        <v>1</v>
      </c>
      <c r="R23" s="54" t="str">
        <f t="shared" si="6"/>
        <v>OK</v>
      </c>
      <c r="S23" s="3" t="str">
        <f t="shared" si="7"/>
        <v>mai/yy</v>
      </c>
      <c r="T23" s="3">
        <f t="shared" si="8"/>
        <v>19</v>
      </c>
      <c r="U23" s="3">
        <f t="shared" si="9"/>
        <v>2026</v>
      </c>
      <c r="V23" s="6">
        <f t="shared" si="10"/>
        <v>1</v>
      </c>
      <c r="W23" s="3" t="str">
        <f t="shared" si="11"/>
        <v>OK</v>
      </c>
    </row>
    <row r="24" spans="1:23" x14ac:dyDescent="0.25">
      <c r="A24" s="2">
        <f>CONTROLE_DIARIO!A25</f>
        <v>46149</v>
      </c>
      <c r="B24" s="51" t="str">
        <f>CONTROLE_DIARIO!B25</f>
        <v>Loja Pistão</v>
      </c>
      <c r="C24" s="3">
        <f>CONTROLE_DIARIO!C25</f>
        <v>3917</v>
      </c>
      <c r="D24" s="3" t="str">
        <f>CONTROLE_DIARIO!D25</f>
        <v>João Lucas</v>
      </c>
      <c r="E24" s="3" t="str">
        <f>CONTROLE_DIARIO!E25</f>
        <v>Entrega Total</v>
      </c>
      <c r="F24" s="3" t="str">
        <f>CONTROLE_DIARIO!F25</f>
        <v>SIM</v>
      </c>
      <c r="G24" s="3" t="str">
        <f>CONTROLE_DIARIO!G25</f>
        <v>SIM</v>
      </c>
      <c r="H24" s="3" t="str">
        <f>CONTROLE_DIARIO!H25</f>
        <v>SIM</v>
      </c>
      <c r="I24" s="3" t="str">
        <f>CONTROLE_DIARIO!I25</f>
        <v>SIM</v>
      </c>
      <c r="J24" s="3" t="str">
        <f>CONTROLE_DIARIO!J25</f>
        <v>SIM</v>
      </c>
      <c r="K24" s="3" t="str">
        <f>CONTROLE_DIARIO!K25</f>
        <v>OK</v>
      </c>
      <c r="L24" s="51" t="str">
        <f>CONTROLE_DIARIO!L25</f>
        <v>OK</v>
      </c>
      <c r="M24" s="51">
        <f>CONTROLE_DIARIO!M25</f>
        <v>0</v>
      </c>
      <c r="N24" s="3" t="str">
        <f>CONTROLE_DIARIO!N25</f>
        <v>Qualidade</v>
      </c>
      <c r="O24" s="3" t="str">
        <f>CONTROLE_DIARIO!O25</f>
        <v>Cinthya</v>
      </c>
      <c r="P24" s="51" t="str">
        <f>CONTROLE_DIARIO!P25</f>
        <v>yyyy0507-Loja Pistão-3917</v>
      </c>
      <c r="Q24" s="6">
        <f t="shared" si="5"/>
        <v>1</v>
      </c>
      <c r="R24" s="54" t="str">
        <f t="shared" si="6"/>
        <v>OK</v>
      </c>
      <c r="S24" s="3" t="str">
        <f t="shared" si="7"/>
        <v>mai/yy</v>
      </c>
      <c r="T24" s="3">
        <f t="shared" si="8"/>
        <v>19</v>
      </c>
      <c r="U24" s="3">
        <f t="shared" si="9"/>
        <v>2026</v>
      </c>
      <c r="V24" s="6">
        <f t="shared" si="10"/>
        <v>1</v>
      </c>
      <c r="W24" s="3" t="str">
        <f t="shared" si="11"/>
        <v>OK</v>
      </c>
    </row>
    <row r="25" spans="1:23" x14ac:dyDescent="0.25">
      <c r="A25" s="2">
        <f>CONTROLE_DIARIO!A26</f>
        <v>46148</v>
      </c>
      <c r="B25" s="51" t="str">
        <f>CONTROLE_DIARIO!B26</f>
        <v>Loja ADE</v>
      </c>
      <c r="C25" s="3">
        <f>CONTROLE_DIARIO!C26</f>
        <v>3919</v>
      </c>
      <c r="D25" s="3" t="str">
        <f>CONTROLE_DIARIO!D26</f>
        <v>João Lucas</v>
      </c>
      <c r="E25" s="3" t="str">
        <f>CONTROLE_DIARIO!E26</f>
        <v>Entrega Total</v>
      </c>
      <c r="F25" s="3" t="str">
        <f>CONTROLE_DIARIO!F26</f>
        <v>SIM</v>
      </c>
      <c r="G25" s="3" t="str">
        <f>CONTROLE_DIARIO!G26</f>
        <v>SIM</v>
      </c>
      <c r="H25" s="3" t="str">
        <f>CONTROLE_DIARIO!H26</f>
        <v>SIM</v>
      </c>
      <c r="I25" s="3" t="str">
        <f>CONTROLE_DIARIO!I26</f>
        <v>SIM</v>
      </c>
      <c r="J25" s="3" t="str">
        <f>CONTROLE_DIARIO!J26</f>
        <v>SIM</v>
      </c>
      <c r="K25" s="3" t="str">
        <f>CONTROLE_DIARIO!K26</f>
        <v>OK</v>
      </c>
      <c r="L25" s="51" t="str">
        <f>CONTROLE_DIARIO!L26</f>
        <v>OK</v>
      </c>
      <c r="M25" s="51">
        <f>CONTROLE_DIARIO!M26</f>
        <v>0</v>
      </c>
      <c r="N25" s="3" t="str">
        <f>CONTROLE_DIARIO!N26</f>
        <v>Qualidade</v>
      </c>
      <c r="O25" s="3" t="str">
        <f>CONTROLE_DIARIO!O26</f>
        <v>Danilo</v>
      </c>
      <c r="P25" s="51" t="str">
        <f>CONTROLE_DIARIO!P26</f>
        <v>yyyy0506-Loja ADE-3919</v>
      </c>
      <c r="Q25" s="6">
        <f t="shared" si="5"/>
        <v>1</v>
      </c>
      <c r="R25" s="54" t="str">
        <f t="shared" si="6"/>
        <v>OK</v>
      </c>
      <c r="S25" s="3" t="str">
        <f t="shared" si="7"/>
        <v>mai/yy</v>
      </c>
      <c r="T25" s="3">
        <f t="shared" si="8"/>
        <v>19</v>
      </c>
      <c r="U25" s="3">
        <f t="shared" si="9"/>
        <v>2026</v>
      </c>
      <c r="V25" s="6">
        <f t="shared" si="10"/>
        <v>1</v>
      </c>
      <c r="W25" s="3" t="str">
        <f t="shared" si="11"/>
        <v>OK</v>
      </c>
    </row>
    <row r="26" spans="1:23" x14ac:dyDescent="0.25">
      <c r="A26" s="2">
        <f>CONTROLE_DIARIO!A27</f>
        <v>46149</v>
      </c>
      <c r="B26" s="51" t="str">
        <f>CONTROLE_DIARIO!B27</f>
        <v>Loja Valparaiso</v>
      </c>
      <c r="C26" s="3">
        <f>CONTROLE_DIARIO!C27</f>
        <v>3920</v>
      </c>
      <c r="D26" s="3" t="str">
        <f>CONTROLE_DIARIO!D27</f>
        <v>Wederson C.</v>
      </c>
      <c r="E26" s="3" t="str">
        <f>CONTROLE_DIARIO!E27</f>
        <v>Entrega Total</v>
      </c>
      <c r="F26" s="3" t="str">
        <f>CONTROLE_DIARIO!F27</f>
        <v>NÃO</v>
      </c>
      <c r="G26" s="3" t="str">
        <f>CONTROLE_DIARIO!G27</f>
        <v>NÃO</v>
      </c>
      <c r="H26" s="3" t="str">
        <f>CONTROLE_DIARIO!H27</f>
        <v>NÃO</v>
      </c>
      <c r="I26" s="3" t="str">
        <f>CONTROLE_DIARIO!I27</f>
        <v>SIM</v>
      </c>
      <c r="J26" s="3" t="str">
        <f>CONTROLE_DIARIO!J27</f>
        <v>NÃO</v>
      </c>
      <c r="K26" s="3" t="str">
        <f>CONTROLE_DIARIO!K27</f>
        <v>NOK</v>
      </c>
      <c r="L26" s="51" t="str">
        <f>CONTROLE_DIARIO!L27</f>
        <v>Outro</v>
      </c>
      <c r="M26" s="51" t="str">
        <f>CONTROLE_DIARIO!M27</f>
        <v>Manifesto não entregue pelo app</v>
      </c>
      <c r="N26" s="3" t="str">
        <f>CONTROLE_DIARIO!N27</f>
        <v>Qualidade</v>
      </c>
      <c r="O26" s="3" t="str">
        <f>CONTROLE_DIARIO!O27</f>
        <v>Cleonice</v>
      </c>
      <c r="P26" s="51" t="str">
        <f>CONTROLE_DIARIO!P27</f>
        <v>yyyy0507-Loja Valparaiso-3920</v>
      </c>
      <c r="Q26" s="6">
        <f t="shared" si="5"/>
        <v>0.3</v>
      </c>
      <c r="R26" s="54" t="str">
        <f t="shared" si="6"/>
        <v>FORA APP</v>
      </c>
      <c r="S26" s="3" t="str">
        <f t="shared" si="7"/>
        <v>mai/yy</v>
      </c>
      <c r="T26" s="3">
        <f t="shared" si="8"/>
        <v>19</v>
      </c>
      <c r="U26" s="3">
        <f t="shared" si="9"/>
        <v>2026</v>
      </c>
      <c r="V26" s="6">
        <f t="shared" si="10"/>
        <v>0.3</v>
      </c>
      <c r="W26" s="3" t="str">
        <f t="shared" si="11"/>
        <v>CRÍTICO</v>
      </c>
    </row>
    <row r="27" spans="1:23" x14ac:dyDescent="0.25">
      <c r="A27" s="2">
        <f>CONTROLE_DIARIO!A28</f>
        <v>46149</v>
      </c>
      <c r="B27" s="51" t="str">
        <f>CONTROLE_DIARIO!B28</f>
        <v>Loja Valparaiso</v>
      </c>
      <c r="C27" s="3">
        <f>CONTROLE_DIARIO!C28</f>
        <v>3921</v>
      </c>
      <c r="D27" s="3" t="str">
        <f>CONTROLE_DIARIO!D28</f>
        <v>Wederson C.</v>
      </c>
      <c r="E27" s="3" t="str">
        <f>CONTROLE_DIARIO!E28</f>
        <v>Entrega Total</v>
      </c>
      <c r="F27" s="3" t="str">
        <f>CONTROLE_DIARIO!F28</f>
        <v>SIM</v>
      </c>
      <c r="G27" s="3" t="str">
        <f>CONTROLE_DIARIO!G28</f>
        <v>SIM</v>
      </c>
      <c r="H27" s="3" t="str">
        <f>CONTROLE_DIARIO!H28</f>
        <v>SIM</v>
      </c>
      <c r="I27" s="3" t="str">
        <f>CONTROLE_DIARIO!I28</f>
        <v>SIM</v>
      </c>
      <c r="J27" s="3" t="str">
        <f>CONTROLE_DIARIO!J28</f>
        <v>SIM</v>
      </c>
      <c r="K27" s="3" t="str">
        <f>CONTROLE_DIARIO!K28</f>
        <v>OK</v>
      </c>
      <c r="L27" s="51" t="str">
        <f>CONTROLE_DIARIO!L28</f>
        <v>Sem foto fachada</v>
      </c>
      <c r="M27" s="51">
        <f>CONTROLE_DIARIO!M28</f>
        <v>0</v>
      </c>
      <c r="N27" s="3" t="str">
        <f>CONTROLE_DIARIO!N28</f>
        <v>Qualidade</v>
      </c>
      <c r="O27" s="3" t="str">
        <f>CONTROLE_DIARIO!O28</f>
        <v>Cleonice</v>
      </c>
      <c r="P27" s="51" t="str">
        <f>CONTROLE_DIARIO!P28</f>
        <v>yyyy0507-Loja Valparaiso-3921</v>
      </c>
      <c r="Q27" s="6">
        <f t="shared" si="5"/>
        <v>1</v>
      </c>
      <c r="R27" s="54" t="str">
        <f t="shared" si="6"/>
        <v>OK</v>
      </c>
      <c r="S27" s="3" t="str">
        <f t="shared" si="7"/>
        <v>mai/yy</v>
      </c>
      <c r="T27" s="3">
        <f t="shared" si="8"/>
        <v>19</v>
      </c>
      <c r="U27" s="3">
        <f t="shared" si="9"/>
        <v>2026</v>
      </c>
      <c r="V27" s="6">
        <f t="shared" si="10"/>
        <v>1</v>
      </c>
      <c r="W27" s="3" t="str">
        <f t="shared" si="11"/>
        <v>OK</v>
      </c>
    </row>
    <row r="28" spans="1:23" x14ac:dyDescent="0.25">
      <c r="A28" s="2">
        <f>CONTROLE_DIARIO!A29</f>
        <v>46149</v>
      </c>
      <c r="B28" s="51" t="str">
        <f>CONTROLE_DIARIO!B29</f>
        <v>Loja Valparaiso</v>
      </c>
      <c r="C28" s="3">
        <f>CONTROLE_DIARIO!C29</f>
        <v>3922</v>
      </c>
      <c r="D28" s="3" t="str">
        <f>CONTROLE_DIARIO!D29</f>
        <v>Wederson C.</v>
      </c>
      <c r="E28" s="3" t="str">
        <f>CONTROLE_DIARIO!E29</f>
        <v>Entrega Total</v>
      </c>
      <c r="F28" s="3" t="str">
        <f>CONTROLE_DIARIO!F29</f>
        <v>SIM</v>
      </c>
      <c r="G28" s="3" t="str">
        <f>CONTROLE_DIARIO!G29</f>
        <v>SIM</v>
      </c>
      <c r="H28" s="3" t="str">
        <f>CONTROLE_DIARIO!H29</f>
        <v>SIM</v>
      </c>
      <c r="I28" s="3" t="str">
        <f>CONTROLE_DIARIO!I29</f>
        <v>SIM</v>
      </c>
      <c r="J28" s="3" t="str">
        <f>CONTROLE_DIARIO!J29</f>
        <v>SIM</v>
      </c>
      <c r="K28" s="3" t="str">
        <f>CONTROLE_DIARIO!K29</f>
        <v>OK</v>
      </c>
      <c r="L28" s="51" t="str">
        <f>CONTROLE_DIARIO!L29</f>
        <v>Sem foto fachada</v>
      </c>
      <c r="M28" s="51">
        <f>CONTROLE_DIARIO!M29</f>
        <v>0</v>
      </c>
      <c r="N28" s="3" t="str">
        <f>CONTROLE_DIARIO!N29</f>
        <v>Qualidade</v>
      </c>
      <c r="O28" s="3" t="str">
        <f>CONTROLE_DIARIO!O29</f>
        <v>Cleonice</v>
      </c>
      <c r="P28" s="51" t="str">
        <f>CONTROLE_DIARIO!P29</f>
        <v>yyyy0507-Loja Valparaiso-3922</v>
      </c>
      <c r="Q28" s="6">
        <f t="shared" si="5"/>
        <v>1</v>
      </c>
      <c r="R28" s="54" t="str">
        <f t="shared" si="6"/>
        <v>OK</v>
      </c>
      <c r="S28" s="3" t="str">
        <f t="shared" si="7"/>
        <v>mai/yy</v>
      </c>
      <c r="T28" s="3">
        <f t="shared" si="8"/>
        <v>19</v>
      </c>
      <c r="U28" s="3">
        <f t="shared" si="9"/>
        <v>2026</v>
      </c>
      <c r="V28" s="6">
        <f t="shared" si="10"/>
        <v>1</v>
      </c>
      <c r="W28" s="3" t="str">
        <f t="shared" si="11"/>
        <v>OK</v>
      </c>
    </row>
    <row r="29" spans="1:23" x14ac:dyDescent="0.25">
      <c r="A29" s="2">
        <f>CONTROLE_DIARIO!A30</f>
        <v>46149</v>
      </c>
      <c r="B29" s="51" t="str">
        <f>CONTROLE_DIARIO!B30</f>
        <v>Loja Valparaiso</v>
      </c>
      <c r="C29" s="3">
        <f>CONTROLE_DIARIO!C30</f>
        <v>3926</v>
      </c>
      <c r="D29" s="3" t="str">
        <f>CONTROLE_DIARIO!D30</f>
        <v>Wederson C.</v>
      </c>
      <c r="E29" s="3" t="str">
        <f>CONTROLE_DIARIO!E30</f>
        <v>Entrega Total</v>
      </c>
      <c r="F29" s="3" t="str">
        <f>CONTROLE_DIARIO!F30</f>
        <v>SIM</v>
      </c>
      <c r="G29" s="3" t="str">
        <f>CONTROLE_DIARIO!G30</f>
        <v>SIM</v>
      </c>
      <c r="H29" s="3" t="str">
        <f>CONTROLE_DIARIO!H30</f>
        <v>SIM</v>
      </c>
      <c r="I29" s="3" t="str">
        <f>CONTROLE_DIARIO!I30</f>
        <v>SIM</v>
      </c>
      <c r="J29" s="3" t="str">
        <f>CONTROLE_DIARIO!J30</f>
        <v>SIM</v>
      </c>
      <c r="K29" s="3" t="str">
        <f>CONTROLE_DIARIO!K30</f>
        <v>OK</v>
      </c>
      <c r="L29" s="51" t="str">
        <f>CONTROLE_DIARIO!L30</f>
        <v>Sem foto fachada</v>
      </c>
      <c r="M29" s="51">
        <f>CONTROLE_DIARIO!M30</f>
        <v>0</v>
      </c>
      <c r="N29" s="3" t="str">
        <f>CONTROLE_DIARIO!N30</f>
        <v>Qualidade</v>
      </c>
      <c r="O29" s="3" t="str">
        <f>CONTROLE_DIARIO!O30</f>
        <v>Cleonice</v>
      </c>
      <c r="P29" s="51" t="str">
        <f>CONTROLE_DIARIO!P30</f>
        <v>yyyy0507-Loja Valparaiso-3926</v>
      </c>
      <c r="Q29" s="6">
        <f t="shared" si="5"/>
        <v>1</v>
      </c>
      <c r="R29" s="54" t="str">
        <f t="shared" si="6"/>
        <v>OK</v>
      </c>
      <c r="S29" s="3" t="str">
        <f t="shared" si="7"/>
        <v>mai/yy</v>
      </c>
      <c r="T29" s="3">
        <f t="shared" si="8"/>
        <v>19</v>
      </c>
      <c r="U29" s="3">
        <f t="shared" si="9"/>
        <v>2026</v>
      </c>
      <c r="V29" s="6">
        <f t="shared" si="10"/>
        <v>1</v>
      </c>
      <c r="W29" s="3" t="str">
        <f t="shared" si="11"/>
        <v>OK</v>
      </c>
    </row>
    <row r="30" spans="1:23" x14ac:dyDescent="0.25">
      <c r="A30" s="2">
        <f>CONTROLE_DIARIO!A31</f>
        <v>46149</v>
      </c>
      <c r="B30" s="51" t="str">
        <f>CONTROLE_DIARIO!B31</f>
        <v>Loja Valparaiso</v>
      </c>
      <c r="C30" s="3">
        <f>CONTROLE_DIARIO!C31</f>
        <v>3927</v>
      </c>
      <c r="D30" s="3" t="str">
        <f>CONTROLE_DIARIO!D31</f>
        <v>Wederson C.</v>
      </c>
      <c r="E30" s="3" t="str">
        <f>CONTROLE_DIARIO!E31</f>
        <v>Entrega Total</v>
      </c>
      <c r="F30" s="3" t="str">
        <f>CONTROLE_DIARIO!F31</f>
        <v>SIM</v>
      </c>
      <c r="G30" s="3" t="str">
        <f>CONTROLE_DIARIO!G31</f>
        <v>SIM</v>
      </c>
      <c r="H30" s="3" t="str">
        <f>CONTROLE_DIARIO!H31</f>
        <v>SIM</v>
      </c>
      <c r="I30" s="3" t="str">
        <f>CONTROLE_DIARIO!I31</f>
        <v>SIM</v>
      </c>
      <c r="J30" s="3" t="str">
        <f>CONTROLE_DIARIO!J31</f>
        <v>SIM</v>
      </c>
      <c r="K30" s="3" t="str">
        <f>CONTROLE_DIARIO!K31</f>
        <v>OK</v>
      </c>
      <c r="L30" s="51" t="str">
        <f>CONTROLE_DIARIO!L31</f>
        <v>Sem foto fachada</v>
      </c>
      <c r="M30" s="51">
        <f>CONTROLE_DIARIO!M31</f>
        <v>0</v>
      </c>
      <c r="N30" s="3" t="str">
        <f>CONTROLE_DIARIO!N31</f>
        <v>Qualidade</v>
      </c>
      <c r="O30" s="3" t="str">
        <f>CONTROLE_DIARIO!O31</f>
        <v>Cleonice</v>
      </c>
      <c r="P30" s="51" t="str">
        <f>CONTROLE_DIARIO!P31</f>
        <v>yyyy0507-Loja Valparaiso-3927</v>
      </c>
      <c r="Q30" s="6">
        <f t="shared" si="5"/>
        <v>1</v>
      </c>
      <c r="R30" s="54" t="str">
        <f t="shared" si="6"/>
        <v>OK</v>
      </c>
      <c r="S30" s="3" t="str">
        <f t="shared" si="7"/>
        <v>mai/yy</v>
      </c>
      <c r="T30" s="3">
        <f t="shared" si="8"/>
        <v>19</v>
      </c>
      <c r="U30" s="3">
        <f t="shared" si="9"/>
        <v>2026</v>
      </c>
      <c r="V30" s="6">
        <f t="shared" si="10"/>
        <v>1</v>
      </c>
      <c r="W30" s="3" t="str">
        <f t="shared" si="11"/>
        <v>OK</v>
      </c>
    </row>
    <row r="31" spans="1:23" x14ac:dyDescent="0.25">
      <c r="A31" s="2">
        <f>CONTROLE_DIARIO!A32</f>
        <v>46149</v>
      </c>
      <c r="B31" s="51" t="str">
        <f>CONTROLE_DIARIO!B32</f>
        <v>Loja Pistão</v>
      </c>
      <c r="C31" s="3">
        <f>CONTROLE_DIARIO!C32</f>
        <v>3928</v>
      </c>
      <c r="D31" s="3" t="str">
        <f>CONTROLE_DIARIO!D32</f>
        <v>João Lucas</v>
      </c>
      <c r="E31" s="3" t="str">
        <f>CONTROLE_DIARIO!E32</f>
        <v>Entrega Total</v>
      </c>
      <c r="F31" s="3" t="str">
        <f>CONTROLE_DIARIO!F32</f>
        <v>SIM</v>
      </c>
      <c r="G31" s="3" t="str">
        <f>CONTROLE_DIARIO!G32</f>
        <v>SIM</v>
      </c>
      <c r="H31" s="3" t="str">
        <f>CONTROLE_DIARIO!H32</f>
        <v>SIM</v>
      </c>
      <c r="I31" s="3" t="str">
        <f>CONTROLE_DIARIO!I32</f>
        <v>SIM</v>
      </c>
      <c r="J31" s="3" t="str">
        <f>CONTROLE_DIARIO!J32</f>
        <v>SIM</v>
      </c>
      <c r="K31" s="3" t="str">
        <f>CONTROLE_DIARIO!K32</f>
        <v>OK</v>
      </c>
      <c r="L31" s="51" t="str">
        <f>CONTROLE_DIARIO!L32</f>
        <v>Sem foto fachada</v>
      </c>
      <c r="M31" s="51">
        <f>CONTROLE_DIARIO!M32</f>
        <v>0</v>
      </c>
      <c r="N31" s="3" t="str">
        <f>CONTROLE_DIARIO!N32</f>
        <v>Qualidade</v>
      </c>
      <c r="O31" s="3" t="str">
        <f>CONTROLE_DIARIO!O32</f>
        <v>Cinthya</v>
      </c>
      <c r="P31" s="51" t="str">
        <f>CONTROLE_DIARIO!P32</f>
        <v>yyyy0507-Loja Pistão-3928</v>
      </c>
      <c r="Q31" s="6">
        <f t="shared" si="5"/>
        <v>1</v>
      </c>
      <c r="R31" s="54" t="str">
        <f t="shared" si="6"/>
        <v>OK</v>
      </c>
      <c r="S31" s="3" t="str">
        <f t="shared" si="7"/>
        <v>mai/yy</v>
      </c>
      <c r="T31" s="3">
        <f t="shared" si="8"/>
        <v>19</v>
      </c>
      <c r="U31" s="3">
        <f t="shared" si="9"/>
        <v>2026</v>
      </c>
      <c r="V31" s="6">
        <f t="shared" si="10"/>
        <v>1</v>
      </c>
      <c r="W31" s="3" t="str">
        <f t="shared" si="11"/>
        <v>OK</v>
      </c>
    </row>
    <row r="32" spans="1:23" x14ac:dyDescent="0.25">
      <c r="A32" s="2">
        <f>CONTROLE_DIARIO!A33</f>
        <v>46149</v>
      </c>
      <c r="B32" s="51" t="str">
        <f>CONTROLE_DIARIO!B33</f>
        <v>Loja Valparaiso</v>
      </c>
      <c r="C32" s="3">
        <f>CONTROLE_DIARIO!C33</f>
        <v>3929</v>
      </c>
      <c r="D32" s="3" t="str">
        <f>CONTROLE_DIARIO!D33</f>
        <v>Wederson C.</v>
      </c>
      <c r="E32" s="3" t="str">
        <f>CONTROLE_DIARIO!E33</f>
        <v>Entrega Total</v>
      </c>
      <c r="F32" s="3" t="str">
        <f>CONTROLE_DIARIO!F33</f>
        <v>SIM</v>
      </c>
      <c r="G32" s="3" t="str">
        <f>CONTROLE_DIARIO!G33</f>
        <v>SIM</v>
      </c>
      <c r="H32" s="3" t="str">
        <f>CONTROLE_DIARIO!H33</f>
        <v>SIM</v>
      </c>
      <c r="I32" s="3" t="str">
        <f>CONTROLE_DIARIO!I33</f>
        <v>SIM</v>
      </c>
      <c r="J32" s="3" t="str">
        <f>CONTROLE_DIARIO!J33</f>
        <v>SIM</v>
      </c>
      <c r="K32" s="3" t="str">
        <f>CONTROLE_DIARIO!K33</f>
        <v>OK</v>
      </c>
      <c r="L32" s="51" t="str">
        <f>CONTROLE_DIARIO!L33</f>
        <v>Sem foto fachada</v>
      </c>
      <c r="M32" s="51">
        <f>CONTROLE_DIARIO!M33</f>
        <v>0</v>
      </c>
      <c r="N32" s="3" t="str">
        <f>CONTROLE_DIARIO!N33</f>
        <v>Qualidade</v>
      </c>
      <c r="O32" s="3" t="str">
        <f>CONTROLE_DIARIO!O33</f>
        <v>Cleonice</v>
      </c>
      <c r="P32" s="51" t="str">
        <f>CONTROLE_DIARIO!P33</f>
        <v>yyyy0507-Loja Valparaiso-3929</v>
      </c>
      <c r="Q32" s="6">
        <f t="shared" si="5"/>
        <v>1</v>
      </c>
      <c r="R32" s="54" t="str">
        <f t="shared" si="6"/>
        <v>OK</v>
      </c>
      <c r="S32" s="3" t="str">
        <f t="shared" si="7"/>
        <v>mai/yy</v>
      </c>
      <c r="T32" s="3">
        <f t="shared" si="8"/>
        <v>19</v>
      </c>
      <c r="U32" s="3">
        <f t="shared" si="9"/>
        <v>2026</v>
      </c>
      <c r="V32" s="6">
        <f t="shared" si="10"/>
        <v>1</v>
      </c>
      <c r="W32" s="3" t="str">
        <f t="shared" si="11"/>
        <v>OK</v>
      </c>
    </row>
    <row r="33" spans="1:23" x14ac:dyDescent="0.25">
      <c r="A33" s="2">
        <f>CONTROLE_DIARIO!A34</f>
        <v>46149</v>
      </c>
      <c r="B33" s="51" t="str">
        <f>CONTROLE_DIARIO!B34</f>
        <v>Loja Pistão</v>
      </c>
      <c r="C33" s="3">
        <f>CONTROLE_DIARIO!C34</f>
        <v>3930</v>
      </c>
      <c r="D33" s="3" t="str">
        <f>CONTROLE_DIARIO!D34</f>
        <v>João Lucas</v>
      </c>
      <c r="E33" s="3" t="str">
        <f>CONTROLE_DIARIO!E34</f>
        <v>Entrega Total</v>
      </c>
      <c r="F33" s="3" t="str">
        <f>CONTROLE_DIARIO!F34</f>
        <v>SIM</v>
      </c>
      <c r="G33" s="3" t="str">
        <f>CONTROLE_DIARIO!G34</f>
        <v>SIM</v>
      </c>
      <c r="H33" s="3" t="str">
        <f>CONTROLE_DIARIO!H34</f>
        <v>SIM</v>
      </c>
      <c r="I33" s="3" t="str">
        <f>CONTROLE_DIARIO!I34</f>
        <v>SIM</v>
      </c>
      <c r="J33" s="3" t="str">
        <f>CONTROLE_DIARIO!J34</f>
        <v>SIM</v>
      </c>
      <c r="K33" s="3" t="str">
        <f>CONTROLE_DIARIO!K34</f>
        <v>OK</v>
      </c>
      <c r="L33" s="51" t="str">
        <f>CONTROLE_DIARIO!L34</f>
        <v>Sem foto fachada</v>
      </c>
      <c r="M33" s="51">
        <f>CONTROLE_DIARIO!M34</f>
        <v>0</v>
      </c>
      <c r="N33" s="3" t="str">
        <f>CONTROLE_DIARIO!N34</f>
        <v>Qualidade</v>
      </c>
      <c r="O33" s="3" t="str">
        <f>CONTROLE_DIARIO!O34</f>
        <v>Cinthya</v>
      </c>
      <c r="P33" s="51" t="str">
        <f>CONTROLE_DIARIO!P34</f>
        <v>yyyy0507-Loja Pistão-3930</v>
      </c>
      <c r="Q33" s="6">
        <f t="shared" si="5"/>
        <v>1</v>
      </c>
      <c r="R33" s="54" t="str">
        <f t="shared" si="6"/>
        <v>OK</v>
      </c>
      <c r="S33" s="3" t="str">
        <f t="shared" si="7"/>
        <v>mai/yy</v>
      </c>
      <c r="T33" s="3">
        <f t="shared" si="8"/>
        <v>19</v>
      </c>
      <c r="U33" s="3">
        <f t="shared" si="9"/>
        <v>2026</v>
      </c>
      <c r="V33" s="6">
        <f t="shared" si="10"/>
        <v>1</v>
      </c>
      <c r="W33" s="3" t="str">
        <f t="shared" si="11"/>
        <v>OK</v>
      </c>
    </row>
    <row r="34" spans="1:23" x14ac:dyDescent="0.25">
      <c r="A34" s="2">
        <f>CONTROLE_DIARIO!A35</f>
        <v>46149</v>
      </c>
      <c r="B34" s="51" t="str">
        <f>CONTROLE_DIARIO!B35</f>
        <v>Loja Pistão</v>
      </c>
      <c r="C34" s="3">
        <f>CONTROLE_DIARIO!C35</f>
        <v>3932</v>
      </c>
      <c r="D34" s="3" t="str">
        <f>CONTROLE_DIARIO!D35</f>
        <v>João Lucas</v>
      </c>
      <c r="E34" s="3" t="str">
        <f>CONTROLE_DIARIO!E35</f>
        <v>Entrega Total</v>
      </c>
      <c r="F34" s="3" t="str">
        <f>CONTROLE_DIARIO!F35</f>
        <v>SIM</v>
      </c>
      <c r="G34" s="3" t="str">
        <f>CONTROLE_DIARIO!G35</f>
        <v>SIM</v>
      </c>
      <c r="H34" s="3" t="str">
        <f>CONTROLE_DIARIO!H35</f>
        <v>SIM</v>
      </c>
      <c r="I34" s="3" t="str">
        <f>CONTROLE_DIARIO!I35</f>
        <v>SIM</v>
      </c>
      <c r="J34" s="3" t="str">
        <f>CONTROLE_DIARIO!J35</f>
        <v>SIM</v>
      </c>
      <c r="K34" s="3" t="str">
        <f>CONTROLE_DIARIO!K35</f>
        <v>OK</v>
      </c>
      <c r="L34" s="51" t="str">
        <f>CONTROLE_DIARIO!L35</f>
        <v>OK</v>
      </c>
      <c r="M34" s="51">
        <f>CONTROLE_DIARIO!M35</f>
        <v>0</v>
      </c>
      <c r="N34" s="3" t="str">
        <f>CONTROLE_DIARIO!N35</f>
        <v>Qualidade</v>
      </c>
      <c r="O34" s="3" t="str">
        <f>CONTROLE_DIARIO!O35</f>
        <v>Cinthya</v>
      </c>
      <c r="P34" s="51" t="str">
        <f>CONTROLE_DIARIO!P35</f>
        <v>yyyy0507-Loja Pistão-3932</v>
      </c>
      <c r="Q34" s="6">
        <f t="shared" si="5"/>
        <v>1</v>
      </c>
      <c r="R34" s="54" t="str">
        <f t="shared" si="6"/>
        <v>OK</v>
      </c>
      <c r="S34" s="3" t="str">
        <f t="shared" si="7"/>
        <v>mai/yy</v>
      </c>
      <c r="T34" s="3">
        <f t="shared" si="8"/>
        <v>19</v>
      </c>
      <c r="U34" s="3">
        <f t="shared" si="9"/>
        <v>2026</v>
      </c>
      <c r="V34" s="6">
        <f t="shared" si="10"/>
        <v>1</v>
      </c>
      <c r="W34" s="3" t="str">
        <f t="shared" si="11"/>
        <v>OK</v>
      </c>
    </row>
    <row r="35" spans="1:23" x14ac:dyDescent="0.25">
      <c r="A35" s="2">
        <f>CONTROLE_DIARIO!A36</f>
        <v>46148</v>
      </c>
      <c r="B35" s="51" t="str">
        <f>CONTROLE_DIARIO!B36</f>
        <v>Loja ADE</v>
      </c>
      <c r="C35" s="3">
        <f>CONTROLE_DIARIO!C36</f>
        <v>3933</v>
      </c>
      <c r="D35" s="3" t="str">
        <f>CONTROLE_DIARIO!D36</f>
        <v>João Lucas</v>
      </c>
      <c r="E35" s="3" t="str">
        <f>CONTROLE_DIARIO!E36</f>
        <v>Entrega Total</v>
      </c>
      <c r="F35" s="3" t="str">
        <f>CONTROLE_DIARIO!F36</f>
        <v>SIM</v>
      </c>
      <c r="G35" s="3" t="str">
        <f>CONTROLE_DIARIO!G36</f>
        <v>SIM</v>
      </c>
      <c r="H35" s="3" t="str">
        <f>CONTROLE_DIARIO!H36</f>
        <v>SIM</v>
      </c>
      <c r="I35" s="3" t="str">
        <f>CONTROLE_DIARIO!I36</f>
        <v>SIM</v>
      </c>
      <c r="J35" s="3" t="str">
        <f>CONTROLE_DIARIO!J36</f>
        <v>SIM</v>
      </c>
      <c r="K35" s="3" t="str">
        <f>CONTROLE_DIARIO!K36</f>
        <v>OK</v>
      </c>
      <c r="L35" s="51" t="str">
        <f>CONTROLE_DIARIO!L36</f>
        <v>OK</v>
      </c>
      <c r="M35" s="51">
        <f>CONTROLE_DIARIO!M36</f>
        <v>0</v>
      </c>
      <c r="N35" s="3" t="str">
        <f>CONTROLE_DIARIO!N36</f>
        <v>Qualidade</v>
      </c>
      <c r="O35" s="3" t="str">
        <f>CONTROLE_DIARIO!O36</f>
        <v>Danilo</v>
      </c>
      <c r="P35" s="51" t="str">
        <f>CONTROLE_DIARIO!P36</f>
        <v>yyyy0506-Loja ADE-3933</v>
      </c>
      <c r="Q35" s="6">
        <f t="shared" si="5"/>
        <v>1</v>
      </c>
      <c r="R35" s="54" t="str">
        <f t="shared" si="6"/>
        <v>OK</v>
      </c>
      <c r="S35" s="3" t="str">
        <f t="shared" si="7"/>
        <v>mai/yy</v>
      </c>
      <c r="T35" s="3">
        <f t="shared" si="8"/>
        <v>19</v>
      </c>
      <c r="U35" s="3">
        <f t="shared" si="9"/>
        <v>2026</v>
      </c>
      <c r="V35" s="6">
        <f t="shared" si="10"/>
        <v>1</v>
      </c>
      <c r="W35" s="3" t="str">
        <f t="shared" si="11"/>
        <v>OK</v>
      </c>
    </row>
    <row r="36" spans="1:23" x14ac:dyDescent="0.25">
      <c r="A36" s="2">
        <f>CONTROLE_DIARIO!A37</f>
        <v>46149</v>
      </c>
      <c r="B36" s="51" t="str">
        <f>CONTROLE_DIARIO!B37</f>
        <v>Loja Valparaiso</v>
      </c>
      <c r="C36" s="3">
        <f>CONTROLE_DIARIO!C37</f>
        <v>3934</v>
      </c>
      <c r="D36" s="3" t="str">
        <f>CONTROLE_DIARIO!D37</f>
        <v>Wederson C.</v>
      </c>
      <c r="E36" s="3" t="str">
        <f>CONTROLE_DIARIO!E37</f>
        <v>Entrega Total</v>
      </c>
      <c r="F36" s="3" t="str">
        <f>CONTROLE_DIARIO!F37</f>
        <v>SIM</v>
      </c>
      <c r="G36" s="3" t="str">
        <f>CONTROLE_DIARIO!G37</f>
        <v>SIM</v>
      </c>
      <c r="H36" s="3" t="str">
        <f>CONTROLE_DIARIO!H37</f>
        <v>SIM</v>
      </c>
      <c r="I36" s="3" t="str">
        <f>CONTROLE_DIARIO!I37</f>
        <v>SIM</v>
      </c>
      <c r="J36" s="3" t="str">
        <f>CONTROLE_DIARIO!J37</f>
        <v>SIM</v>
      </c>
      <c r="K36" s="3" t="str">
        <f>CONTROLE_DIARIO!K37</f>
        <v>OK</v>
      </c>
      <c r="L36" s="51" t="str">
        <f>CONTROLE_DIARIO!L37</f>
        <v>Sem foto fachada</v>
      </c>
      <c r="M36" s="51">
        <f>CONTROLE_DIARIO!M37</f>
        <v>0</v>
      </c>
      <c r="N36" s="3" t="str">
        <f>CONTROLE_DIARIO!N37</f>
        <v>Qualidade</v>
      </c>
      <c r="O36" s="3" t="str">
        <f>CONTROLE_DIARIO!O37</f>
        <v>Cleonice</v>
      </c>
      <c r="P36" s="51" t="str">
        <f>CONTROLE_DIARIO!P37</f>
        <v>yyyy0507-Loja Valparaiso-3934</v>
      </c>
      <c r="Q36" s="6">
        <f t="shared" si="5"/>
        <v>1</v>
      </c>
      <c r="R36" s="54" t="str">
        <f t="shared" si="6"/>
        <v>OK</v>
      </c>
      <c r="S36" s="3" t="str">
        <f t="shared" si="7"/>
        <v>mai/yy</v>
      </c>
      <c r="T36" s="3">
        <f t="shared" si="8"/>
        <v>19</v>
      </c>
      <c r="U36" s="3">
        <f t="shared" si="9"/>
        <v>2026</v>
      </c>
      <c r="V36" s="6">
        <f t="shared" si="10"/>
        <v>1</v>
      </c>
      <c r="W36" s="3" t="str">
        <f t="shared" si="11"/>
        <v>OK</v>
      </c>
    </row>
    <row r="37" spans="1:23" x14ac:dyDescent="0.25">
      <c r="A37" s="2">
        <f>CONTROLE_DIARIO!A38</f>
        <v>46148</v>
      </c>
      <c r="B37" s="51" t="str">
        <f>CONTROLE_DIARIO!B38</f>
        <v>Loja ADE</v>
      </c>
      <c r="C37" s="3">
        <f>CONTROLE_DIARIO!C38</f>
        <v>3935</v>
      </c>
      <c r="D37" s="3" t="str">
        <f>CONTROLE_DIARIO!D38</f>
        <v>João Lucas</v>
      </c>
      <c r="E37" s="3" t="str">
        <f>CONTROLE_DIARIO!E38</f>
        <v>Entrega Total</v>
      </c>
      <c r="F37" s="3" t="str">
        <f>CONTROLE_DIARIO!F38</f>
        <v>SIM</v>
      </c>
      <c r="G37" s="3" t="str">
        <f>CONTROLE_DIARIO!G38</f>
        <v>SIM</v>
      </c>
      <c r="H37" s="3" t="str">
        <f>CONTROLE_DIARIO!H38</f>
        <v>SIM</v>
      </c>
      <c r="I37" s="3" t="str">
        <f>CONTROLE_DIARIO!I38</f>
        <v>SIM</v>
      </c>
      <c r="J37" s="3" t="str">
        <f>CONTROLE_DIARIO!J38</f>
        <v>SIM</v>
      </c>
      <c r="K37" s="3" t="str">
        <f>CONTROLE_DIARIO!K38</f>
        <v>OK</v>
      </c>
      <c r="L37" s="51" t="str">
        <f>CONTROLE_DIARIO!L38</f>
        <v>OK</v>
      </c>
      <c r="M37" s="51">
        <f>CONTROLE_DIARIO!M38</f>
        <v>0</v>
      </c>
      <c r="N37" s="3" t="str">
        <f>CONTROLE_DIARIO!N38</f>
        <v>Qualidade</v>
      </c>
      <c r="O37" s="3" t="str">
        <f>CONTROLE_DIARIO!O38</f>
        <v>Danilo</v>
      </c>
      <c r="P37" s="51" t="str">
        <f>CONTROLE_DIARIO!P38</f>
        <v>yyyy0506-Loja ADE-3935</v>
      </c>
      <c r="Q37" s="6">
        <f t="shared" si="5"/>
        <v>1</v>
      </c>
      <c r="R37" s="54" t="str">
        <f t="shared" si="6"/>
        <v>OK</v>
      </c>
      <c r="S37" s="3" t="str">
        <f t="shared" si="7"/>
        <v>mai/yy</v>
      </c>
      <c r="T37" s="3">
        <f t="shared" si="8"/>
        <v>19</v>
      </c>
      <c r="U37" s="3">
        <f t="shared" si="9"/>
        <v>2026</v>
      </c>
      <c r="V37" s="6">
        <f t="shared" si="10"/>
        <v>1</v>
      </c>
      <c r="W37" s="3" t="str">
        <f t="shared" si="11"/>
        <v>OK</v>
      </c>
    </row>
    <row r="38" spans="1:23" x14ac:dyDescent="0.25">
      <c r="A38" s="2">
        <f>CONTROLE_DIARIO!A39</f>
        <v>46149</v>
      </c>
      <c r="B38" s="51" t="str">
        <f>CONTROLE_DIARIO!B39</f>
        <v>Loja Valparaiso</v>
      </c>
      <c r="C38" s="3">
        <f>CONTROLE_DIARIO!C39</f>
        <v>3936</v>
      </c>
      <c r="D38" s="3" t="str">
        <f>CONTROLE_DIARIO!D39</f>
        <v>Wederson C.</v>
      </c>
      <c r="E38" s="3" t="str">
        <f>CONTROLE_DIARIO!E39</f>
        <v>Entrega Total</v>
      </c>
      <c r="F38" s="3" t="str">
        <f>CONTROLE_DIARIO!F39</f>
        <v>SIM</v>
      </c>
      <c r="G38" s="3" t="str">
        <f>CONTROLE_DIARIO!G39</f>
        <v>SIM</v>
      </c>
      <c r="H38" s="3" t="str">
        <f>CONTROLE_DIARIO!H39</f>
        <v>SIM</v>
      </c>
      <c r="I38" s="3" t="str">
        <f>CONTROLE_DIARIO!I39</f>
        <v>SIM</v>
      </c>
      <c r="J38" s="3" t="str">
        <f>CONTROLE_DIARIO!J39</f>
        <v>SIM</v>
      </c>
      <c r="K38" s="3" t="str">
        <f>CONTROLE_DIARIO!K39</f>
        <v>OK</v>
      </c>
      <c r="L38" s="51" t="str">
        <f>CONTROLE_DIARIO!L39</f>
        <v>Sem foto fachada</v>
      </c>
      <c r="M38" s="51">
        <f>CONTROLE_DIARIO!M39</f>
        <v>0</v>
      </c>
      <c r="N38" s="3" t="str">
        <f>CONTROLE_DIARIO!N39</f>
        <v>Qualidade</v>
      </c>
      <c r="O38" s="3" t="str">
        <f>CONTROLE_DIARIO!O39</f>
        <v>Cleonice</v>
      </c>
      <c r="P38" s="51" t="str">
        <f>CONTROLE_DIARIO!P39</f>
        <v>yyyy0507-Loja Valparaiso-3936</v>
      </c>
      <c r="Q38" s="6">
        <f t="shared" si="5"/>
        <v>1</v>
      </c>
      <c r="R38" s="54" t="str">
        <f t="shared" si="6"/>
        <v>OK</v>
      </c>
      <c r="S38" s="3" t="str">
        <f t="shared" si="7"/>
        <v>mai/yy</v>
      </c>
      <c r="T38" s="3">
        <f t="shared" si="8"/>
        <v>19</v>
      </c>
      <c r="U38" s="3">
        <f t="shared" si="9"/>
        <v>2026</v>
      </c>
      <c r="V38" s="6">
        <f t="shared" si="10"/>
        <v>1</v>
      </c>
      <c r="W38" s="3" t="str">
        <f t="shared" si="11"/>
        <v>OK</v>
      </c>
    </row>
    <row r="39" spans="1:23" x14ac:dyDescent="0.25">
      <c r="A39" s="2">
        <f>CONTROLE_DIARIO!A40</f>
        <v>46149</v>
      </c>
      <c r="B39" s="51" t="str">
        <f>CONTROLE_DIARIO!B40</f>
        <v>Loja Valparaiso</v>
      </c>
      <c r="C39" s="3">
        <f>CONTROLE_DIARIO!C40</f>
        <v>3937</v>
      </c>
      <c r="D39" s="3" t="str">
        <f>CONTROLE_DIARIO!D40</f>
        <v>Wederson C.</v>
      </c>
      <c r="E39" s="3" t="str">
        <f>CONTROLE_DIARIO!E40</f>
        <v>Entrega Total</v>
      </c>
      <c r="F39" s="3" t="str">
        <f>CONTROLE_DIARIO!F40</f>
        <v>SIM</v>
      </c>
      <c r="G39" s="3" t="str">
        <f>CONTROLE_DIARIO!G40</f>
        <v>SIM</v>
      </c>
      <c r="H39" s="3" t="str">
        <f>CONTROLE_DIARIO!H40</f>
        <v>SIM</v>
      </c>
      <c r="I39" s="3" t="str">
        <f>CONTROLE_DIARIO!I40</f>
        <v>SIM</v>
      </c>
      <c r="J39" s="3" t="str">
        <f>CONTROLE_DIARIO!J40</f>
        <v>SIM</v>
      </c>
      <c r="K39" s="3" t="str">
        <f>CONTROLE_DIARIO!K40</f>
        <v>OK</v>
      </c>
      <c r="L39" s="51" t="str">
        <f>CONTROLE_DIARIO!L40</f>
        <v>Sem foto fachada</v>
      </c>
      <c r="M39" s="51">
        <f>CONTROLE_DIARIO!M40</f>
        <v>0</v>
      </c>
      <c r="N39" s="3" t="str">
        <f>CONTROLE_DIARIO!N40</f>
        <v>Qualidade</v>
      </c>
      <c r="O39" s="3" t="str">
        <f>CONTROLE_DIARIO!O40</f>
        <v>Cleonice</v>
      </c>
      <c r="P39" s="51" t="str">
        <f>CONTROLE_DIARIO!P40</f>
        <v>yyyy0507-Loja Valparaiso-3937</v>
      </c>
      <c r="Q39" s="6">
        <f t="shared" si="5"/>
        <v>1</v>
      </c>
      <c r="R39" s="54" t="str">
        <f t="shared" si="6"/>
        <v>OK</v>
      </c>
      <c r="S39" s="3" t="str">
        <f t="shared" si="7"/>
        <v>mai/yy</v>
      </c>
      <c r="T39" s="3">
        <f t="shared" si="8"/>
        <v>19</v>
      </c>
      <c r="U39" s="3">
        <f t="shared" si="9"/>
        <v>2026</v>
      </c>
      <c r="V39" s="6">
        <f t="shared" si="10"/>
        <v>1</v>
      </c>
      <c r="W39" s="3" t="str">
        <f t="shared" si="11"/>
        <v>OK</v>
      </c>
    </row>
    <row r="40" spans="1:23" x14ac:dyDescent="0.25">
      <c r="A40" s="2">
        <f>CONTROLE_DIARIO!A41</f>
        <v>46149</v>
      </c>
      <c r="B40" s="51" t="str">
        <f>CONTROLE_DIARIO!B41</f>
        <v>Loja Valparaiso</v>
      </c>
      <c r="C40" s="3">
        <f>CONTROLE_DIARIO!C41</f>
        <v>3938</v>
      </c>
      <c r="D40" s="3" t="str">
        <f>CONTROLE_DIARIO!D41</f>
        <v>Wederson C.</v>
      </c>
      <c r="E40" s="3" t="str">
        <f>CONTROLE_DIARIO!E41</f>
        <v>Entrega Total</v>
      </c>
      <c r="F40" s="3" t="str">
        <f>CONTROLE_DIARIO!F41</f>
        <v>SIM</v>
      </c>
      <c r="G40" s="3" t="str">
        <f>CONTROLE_DIARIO!G41</f>
        <v>SIM</v>
      </c>
      <c r="H40" s="3" t="str">
        <f>CONTROLE_DIARIO!H41</f>
        <v>SIM</v>
      </c>
      <c r="I40" s="3" t="str">
        <f>CONTROLE_DIARIO!I41</f>
        <v>SIM</v>
      </c>
      <c r="J40" s="3" t="str">
        <f>CONTROLE_DIARIO!J41</f>
        <v>SIM</v>
      </c>
      <c r="K40" s="3" t="str">
        <f>CONTROLE_DIARIO!K41</f>
        <v>OK</v>
      </c>
      <c r="L40" s="51" t="str">
        <f>CONTROLE_DIARIO!L41</f>
        <v>Sem foto fachada</v>
      </c>
      <c r="M40" s="51">
        <f>CONTROLE_DIARIO!M41</f>
        <v>0</v>
      </c>
      <c r="N40" s="3" t="str">
        <f>CONTROLE_DIARIO!N41</f>
        <v>Qualidade</v>
      </c>
      <c r="O40" s="3" t="str">
        <f>CONTROLE_DIARIO!O41</f>
        <v>Cleonice</v>
      </c>
      <c r="P40" s="51" t="str">
        <f>CONTROLE_DIARIO!P41</f>
        <v>yyyy0507-Loja Valparaiso-3938</v>
      </c>
      <c r="Q40" s="6">
        <f t="shared" si="5"/>
        <v>1</v>
      </c>
      <c r="R40" s="54" t="str">
        <f t="shared" si="6"/>
        <v>OK</v>
      </c>
      <c r="S40" s="3" t="str">
        <f t="shared" si="7"/>
        <v>mai/yy</v>
      </c>
      <c r="T40" s="3">
        <f t="shared" si="8"/>
        <v>19</v>
      </c>
      <c r="U40" s="3">
        <f t="shared" si="9"/>
        <v>2026</v>
      </c>
      <c r="V40" s="6">
        <f t="shared" si="10"/>
        <v>1</v>
      </c>
      <c r="W40" s="3" t="str">
        <f t="shared" si="11"/>
        <v>OK</v>
      </c>
    </row>
    <row r="41" spans="1:23" x14ac:dyDescent="0.25">
      <c r="A41" s="2">
        <f>CONTROLE_DIARIO!A42</f>
        <v>46149</v>
      </c>
      <c r="B41" s="51" t="str">
        <f>CONTROLE_DIARIO!B42</f>
        <v>Loja Valparaiso</v>
      </c>
      <c r="C41" s="3">
        <f>CONTROLE_DIARIO!C42</f>
        <v>3939</v>
      </c>
      <c r="D41" s="3" t="str">
        <f>CONTROLE_DIARIO!D42</f>
        <v>Wederson C.</v>
      </c>
      <c r="E41" s="3" t="str">
        <f>CONTROLE_DIARIO!E42</f>
        <v>Entrega Total</v>
      </c>
      <c r="F41" s="3" t="str">
        <f>CONTROLE_DIARIO!F42</f>
        <v>SIM</v>
      </c>
      <c r="G41" s="3" t="str">
        <f>CONTROLE_DIARIO!G42</f>
        <v>SIM</v>
      </c>
      <c r="H41" s="3" t="str">
        <f>CONTROLE_DIARIO!H42</f>
        <v>SIM</v>
      </c>
      <c r="I41" s="3" t="str">
        <f>CONTROLE_DIARIO!I42</f>
        <v>SIM</v>
      </c>
      <c r="J41" s="3" t="str">
        <f>CONTROLE_DIARIO!J42</f>
        <v>SIM</v>
      </c>
      <c r="K41" s="3" t="str">
        <f>CONTROLE_DIARIO!K42</f>
        <v>OK</v>
      </c>
      <c r="L41" s="51" t="str">
        <f>CONTROLE_DIARIO!L42</f>
        <v>Sem foto fachada</v>
      </c>
      <c r="M41" s="51">
        <f>CONTROLE_DIARIO!M42</f>
        <v>0</v>
      </c>
      <c r="N41" s="3" t="str">
        <f>CONTROLE_DIARIO!N42</f>
        <v>Qualidade</v>
      </c>
      <c r="O41" s="3" t="str">
        <f>CONTROLE_DIARIO!O42</f>
        <v>Cleonice</v>
      </c>
      <c r="P41" s="51" t="str">
        <f>CONTROLE_DIARIO!P42</f>
        <v>yyyy0507-Loja Valparaiso-3939</v>
      </c>
      <c r="Q41" s="6">
        <f t="shared" si="5"/>
        <v>1</v>
      </c>
      <c r="R41" s="54" t="str">
        <f t="shared" si="6"/>
        <v>OK</v>
      </c>
      <c r="S41" s="3" t="str">
        <f t="shared" si="7"/>
        <v>mai/yy</v>
      </c>
      <c r="T41" s="3">
        <f t="shared" si="8"/>
        <v>19</v>
      </c>
      <c r="U41" s="3">
        <f t="shared" si="9"/>
        <v>2026</v>
      </c>
      <c r="V41" s="6">
        <f t="shared" si="10"/>
        <v>1</v>
      </c>
      <c r="W41" s="3" t="str">
        <f t="shared" si="11"/>
        <v>OK</v>
      </c>
    </row>
    <row r="42" spans="1:23" x14ac:dyDescent="0.25">
      <c r="A42" s="2">
        <f>CONTROLE_DIARIO!A43</f>
        <v>46149</v>
      </c>
      <c r="B42" s="51" t="str">
        <f>CONTROLE_DIARIO!B43</f>
        <v>Loja Pistão</v>
      </c>
      <c r="C42" s="3">
        <f>CONTROLE_DIARIO!C43</f>
        <v>3940</v>
      </c>
      <c r="D42" s="3" t="str">
        <f>CONTROLE_DIARIO!D43</f>
        <v>João Lucas</v>
      </c>
      <c r="E42" s="3" t="str">
        <f>CONTROLE_DIARIO!E43</f>
        <v>Entrega Total</v>
      </c>
      <c r="F42" s="3" t="str">
        <f>CONTROLE_DIARIO!F43</f>
        <v>SIM</v>
      </c>
      <c r="G42" s="3" t="str">
        <f>CONTROLE_DIARIO!G43</f>
        <v>SIM</v>
      </c>
      <c r="H42" s="3" t="str">
        <f>CONTROLE_DIARIO!H43</f>
        <v>SIM</v>
      </c>
      <c r="I42" s="3" t="str">
        <f>CONTROLE_DIARIO!I43</f>
        <v>SIM</v>
      </c>
      <c r="J42" s="3" t="str">
        <f>CONTROLE_DIARIO!J43</f>
        <v>SIM</v>
      </c>
      <c r="K42" s="3" t="str">
        <f>CONTROLE_DIARIO!K43</f>
        <v>OK</v>
      </c>
      <c r="L42" s="51" t="str">
        <f>CONTROLE_DIARIO!L43</f>
        <v>OK</v>
      </c>
      <c r="M42" s="51">
        <f>CONTROLE_DIARIO!M43</f>
        <v>0</v>
      </c>
      <c r="N42" s="3" t="str">
        <f>CONTROLE_DIARIO!N43</f>
        <v>Qualidade</v>
      </c>
      <c r="O42" s="3" t="str">
        <f>CONTROLE_DIARIO!O43</f>
        <v>Cinthya</v>
      </c>
      <c r="P42" s="51" t="str">
        <f>CONTROLE_DIARIO!P43</f>
        <v>yyyy0507-Loja Pistão-3940</v>
      </c>
      <c r="Q42" s="6">
        <f t="shared" si="5"/>
        <v>1</v>
      </c>
      <c r="R42" s="54" t="str">
        <f t="shared" si="6"/>
        <v>OK</v>
      </c>
      <c r="S42" s="3" t="str">
        <f t="shared" si="7"/>
        <v>mai/yy</v>
      </c>
      <c r="T42" s="3">
        <f t="shared" si="8"/>
        <v>19</v>
      </c>
      <c r="U42" s="3">
        <f t="shared" si="9"/>
        <v>2026</v>
      </c>
      <c r="V42" s="6">
        <f t="shared" si="10"/>
        <v>1</v>
      </c>
      <c r="W42" s="3" t="str">
        <f t="shared" si="11"/>
        <v>OK</v>
      </c>
    </row>
    <row r="43" spans="1:23" x14ac:dyDescent="0.25">
      <c r="A43" s="2">
        <f>CONTROLE_DIARIO!A44</f>
        <v>46149</v>
      </c>
      <c r="B43" s="51" t="str">
        <f>CONTROLE_DIARIO!B44</f>
        <v>Loja Pistão</v>
      </c>
      <c r="C43" s="3">
        <f>CONTROLE_DIARIO!C44</f>
        <v>3941</v>
      </c>
      <c r="D43" s="3" t="str">
        <f>CONTROLE_DIARIO!D44</f>
        <v>João Lucas</v>
      </c>
      <c r="E43" s="3" t="str">
        <f>CONTROLE_DIARIO!E44</f>
        <v>Entrega Total</v>
      </c>
      <c r="F43" s="3" t="str">
        <f>CONTROLE_DIARIO!F44</f>
        <v>SIM</v>
      </c>
      <c r="G43" s="3" t="str">
        <f>CONTROLE_DIARIO!G44</f>
        <v>SIM</v>
      </c>
      <c r="H43" s="3" t="str">
        <f>CONTROLE_DIARIO!H44</f>
        <v>SIM</v>
      </c>
      <c r="I43" s="3" t="str">
        <f>CONTROLE_DIARIO!I44</f>
        <v>SIM</v>
      </c>
      <c r="J43" s="3" t="str">
        <f>CONTROLE_DIARIO!J44</f>
        <v>SIM</v>
      </c>
      <c r="K43" s="3" t="str">
        <f>CONTROLE_DIARIO!K44</f>
        <v>OK</v>
      </c>
      <c r="L43" s="51" t="str">
        <f>CONTROLE_DIARIO!L44</f>
        <v>Sem foto fachada</v>
      </c>
      <c r="M43" s="51">
        <f>CONTROLE_DIARIO!M44</f>
        <v>0</v>
      </c>
      <c r="N43" s="3" t="str">
        <f>CONTROLE_DIARIO!N44</f>
        <v>Qualidade</v>
      </c>
      <c r="O43" s="3" t="str">
        <f>CONTROLE_DIARIO!O44</f>
        <v>Cinthya</v>
      </c>
      <c r="P43" s="51" t="str">
        <f>CONTROLE_DIARIO!P44</f>
        <v>yyyy0507-Loja Pistão-3941</v>
      </c>
      <c r="Q43" s="6">
        <f t="shared" si="5"/>
        <v>1</v>
      </c>
      <c r="R43" s="54" t="str">
        <f t="shared" si="6"/>
        <v>OK</v>
      </c>
      <c r="S43" s="3" t="str">
        <f t="shared" si="7"/>
        <v>mai/yy</v>
      </c>
      <c r="T43" s="3">
        <f t="shared" si="8"/>
        <v>19</v>
      </c>
      <c r="U43" s="3">
        <f t="shared" si="9"/>
        <v>2026</v>
      </c>
      <c r="V43" s="6">
        <f t="shared" si="10"/>
        <v>1</v>
      </c>
      <c r="W43" s="3" t="str">
        <f t="shared" si="11"/>
        <v>OK</v>
      </c>
    </row>
    <row r="44" spans="1:23" x14ac:dyDescent="0.25">
      <c r="A44" s="2">
        <f>CONTROLE_DIARIO!A45</f>
        <v>46148</v>
      </c>
      <c r="B44" s="51" t="str">
        <f>CONTROLE_DIARIO!B45</f>
        <v>Loja ADE</v>
      </c>
      <c r="C44" s="3">
        <f>CONTROLE_DIARIO!C45</f>
        <v>3945</v>
      </c>
      <c r="D44" s="3" t="str">
        <f>CONTROLE_DIARIO!D45</f>
        <v>João Lucas</v>
      </c>
      <c r="E44" s="3" t="str">
        <f>CONTROLE_DIARIO!E45</f>
        <v>Entrega Total</v>
      </c>
      <c r="F44" s="3" t="str">
        <f>CONTROLE_DIARIO!F45</f>
        <v>SIM</v>
      </c>
      <c r="G44" s="3" t="str">
        <f>CONTROLE_DIARIO!G45</f>
        <v>SIM</v>
      </c>
      <c r="H44" s="3" t="str">
        <f>CONTROLE_DIARIO!H45</f>
        <v>SIM</v>
      </c>
      <c r="I44" s="3" t="str">
        <f>CONTROLE_DIARIO!I45</f>
        <v>SIM</v>
      </c>
      <c r="J44" s="3" t="str">
        <f>CONTROLE_DIARIO!J45</f>
        <v>SIM</v>
      </c>
      <c r="K44" s="3" t="str">
        <f>CONTROLE_DIARIO!K45</f>
        <v>OK</v>
      </c>
      <c r="L44" s="51" t="str">
        <f>CONTROLE_DIARIO!L45</f>
        <v>OK</v>
      </c>
      <c r="M44" s="51">
        <f>CONTROLE_DIARIO!M45</f>
        <v>0</v>
      </c>
      <c r="N44" s="3" t="str">
        <f>CONTROLE_DIARIO!N45</f>
        <v>Qualidade</v>
      </c>
      <c r="O44" s="3" t="str">
        <f>CONTROLE_DIARIO!O45</f>
        <v>Danilo</v>
      </c>
      <c r="P44" s="51" t="str">
        <f>CONTROLE_DIARIO!P45</f>
        <v>yyyy0506-Loja ADE-3945</v>
      </c>
      <c r="Q44" s="6">
        <f t="shared" si="5"/>
        <v>1</v>
      </c>
      <c r="R44" s="54" t="str">
        <f t="shared" si="6"/>
        <v>OK</v>
      </c>
      <c r="S44" s="3" t="str">
        <f t="shared" si="7"/>
        <v>mai/yy</v>
      </c>
      <c r="T44" s="3">
        <f t="shared" si="8"/>
        <v>19</v>
      </c>
      <c r="U44" s="3">
        <f t="shared" si="9"/>
        <v>2026</v>
      </c>
      <c r="V44" s="6">
        <f t="shared" si="10"/>
        <v>1</v>
      </c>
      <c r="W44" s="3" t="str">
        <f t="shared" si="11"/>
        <v>OK</v>
      </c>
    </row>
    <row r="45" spans="1:23" x14ac:dyDescent="0.25">
      <c r="A45" s="2">
        <f>CONTROLE_DIARIO!A46</f>
        <v>46148</v>
      </c>
      <c r="B45" s="51" t="str">
        <f>CONTROLE_DIARIO!B46</f>
        <v>Loja ADE</v>
      </c>
      <c r="C45" s="3">
        <f>CONTROLE_DIARIO!C46</f>
        <v>3946</v>
      </c>
      <c r="D45" s="3" t="str">
        <f>CONTROLE_DIARIO!D46</f>
        <v>João Lucas</v>
      </c>
      <c r="E45" s="3" t="str">
        <f>CONTROLE_DIARIO!E46</f>
        <v>Entrega Total</v>
      </c>
      <c r="F45" s="3" t="str">
        <f>CONTROLE_DIARIO!F46</f>
        <v>SIM</v>
      </c>
      <c r="G45" s="3" t="str">
        <f>CONTROLE_DIARIO!G46</f>
        <v>SIM</v>
      </c>
      <c r="H45" s="3" t="str">
        <f>CONTROLE_DIARIO!H46</f>
        <v>SIM</v>
      </c>
      <c r="I45" s="3" t="str">
        <f>CONTROLE_DIARIO!I46</f>
        <v>SIM</v>
      </c>
      <c r="J45" s="3" t="str">
        <f>CONTROLE_DIARIO!J46</f>
        <v>SIM</v>
      </c>
      <c r="K45" s="3" t="str">
        <f>CONTROLE_DIARIO!K46</f>
        <v>OK</v>
      </c>
      <c r="L45" s="51" t="str">
        <f>CONTROLE_DIARIO!L46</f>
        <v>Sem foto fachada</v>
      </c>
      <c r="M45" s="51">
        <f>CONTROLE_DIARIO!M46</f>
        <v>0</v>
      </c>
      <c r="N45" s="3" t="str">
        <f>CONTROLE_DIARIO!N46</f>
        <v>Qualidade</v>
      </c>
      <c r="O45" s="3" t="str">
        <f>CONTROLE_DIARIO!O46</f>
        <v>Danilo</v>
      </c>
      <c r="P45" s="51" t="str">
        <f>CONTROLE_DIARIO!P46</f>
        <v>yyyy0506-Loja ADE-3946</v>
      </c>
      <c r="Q45" s="6">
        <f t="shared" si="5"/>
        <v>1</v>
      </c>
      <c r="R45" s="54" t="str">
        <f t="shared" si="6"/>
        <v>OK</v>
      </c>
      <c r="S45" s="3" t="str">
        <f t="shared" si="7"/>
        <v>mai/yy</v>
      </c>
      <c r="T45" s="3">
        <f t="shared" si="8"/>
        <v>19</v>
      </c>
      <c r="U45" s="3">
        <f t="shared" si="9"/>
        <v>2026</v>
      </c>
      <c r="V45" s="6">
        <f t="shared" si="10"/>
        <v>1</v>
      </c>
      <c r="W45" s="3" t="str">
        <f t="shared" si="11"/>
        <v>OK</v>
      </c>
    </row>
    <row r="46" spans="1:23" x14ac:dyDescent="0.25">
      <c r="A46" s="2">
        <f>CONTROLE_DIARIO!A47</f>
        <v>46149</v>
      </c>
      <c r="B46" s="51" t="str">
        <f>CONTROLE_DIARIO!B47</f>
        <v>Loja Pistão</v>
      </c>
      <c r="C46" s="3">
        <f>CONTROLE_DIARIO!C47</f>
        <v>3947</v>
      </c>
      <c r="D46" s="3" t="str">
        <f>CONTROLE_DIARIO!D47</f>
        <v>João Lucas</v>
      </c>
      <c r="E46" s="3" t="str">
        <f>CONTROLE_DIARIO!E47</f>
        <v>Entrega Total</v>
      </c>
      <c r="F46" s="3" t="str">
        <f>CONTROLE_DIARIO!F47</f>
        <v>SIM</v>
      </c>
      <c r="G46" s="3" t="str">
        <f>CONTROLE_DIARIO!G47</f>
        <v>SIM</v>
      </c>
      <c r="H46" s="3" t="str">
        <f>CONTROLE_DIARIO!H47</f>
        <v>SIM</v>
      </c>
      <c r="I46" s="3" t="str">
        <f>CONTROLE_DIARIO!I47</f>
        <v>SIM</v>
      </c>
      <c r="J46" s="3" t="str">
        <f>CONTROLE_DIARIO!J47</f>
        <v>SIM</v>
      </c>
      <c r="K46" s="3" t="str">
        <f>CONTROLE_DIARIO!K47</f>
        <v>OK</v>
      </c>
      <c r="L46" s="51" t="str">
        <f>CONTROLE_DIARIO!L47</f>
        <v>Sem foto fachada</v>
      </c>
      <c r="M46" s="51">
        <f>CONTROLE_DIARIO!M47</f>
        <v>0</v>
      </c>
      <c r="N46" s="3" t="str">
        <f>CONTROLE_DIARIO!N47</f>
        <v>Qualidade</v>
      </c>
      <c r="O46" s="3" t="str">
        <f>CONTROLE_DIARIO!O47</f>
        <v>Cinthya</v>
      </c>
      <c r="P46" s="51" t="str">
        <f>CONTROLE_DIARIO!P47</f>
        <v>yyyy0507-Loja Pistão-3947</v>
      </c>
      <c r="Q46" s="6">
        <f t="shared" si="5"/>
        <v>1</v>
      </c>
      <c r="R46" s="54" t="str">
        <f t="shared" si="6"/>
        <v>OK</v>
      </c>
      <c r="S46" s="3" t="str">
        <f t="shared" si="7"/>
        <v>mai/yy</v>
      </c>
      <c r="T46" s="3">
        <f t="shared" si="8"/>
        <v>19</v>
      </c>
      <c r="U46" s="3">
        <f t="shared" si="9"/>
        <v>2026</v>
      </c>
      <c r="V46" s="6">
        <f t="shared" si="10"/>
        <v>1</v>
      </c>
      <c r="W46" s="3" t="str">
        <f t="shared" si="11"/>
        <v>OK</v>
      </c>
    </row>
    <row r="47" spans="1:23" x14ac:dyDescent="0.25">
      <c r="A47" s="2">
        <f>CONTROLE_DIARIO!A48</f>
        <v>46149</v>
      </c>
      <c r="B47" s="51" t="str">
        <f>CONTROLE_DIARIO!B48</f>
        <v>Loja Pistão</v>
      </c>
      <c r="C47" s="3">
        <f>CONTROLE_DIARIO!C48</f>
        <v>3948</v>
      </c>
      <c r="D47" s="3" t="str">
        <f>CONTROLE_DIARIO!D48</f>
        <v>João Lucas</v>
      </c>
      <c r="E47" s="3" t="str">
        <f>CONTROLE_DIARIO!E48</f>
        <v>Entrega Total</v>
      </c>
      <c r="F47" s="3" t="str">
        <f>CONTROLE_DIARIO!F48</f>
        <v>SIM</v>
      </c>
      <c r="G47" s="3" t="str">
        <f>CONTROLE_DIARIO!G48</f>
        <v>SIM</v>
      </c>
      <c r="H47" s="3" t="str">
        <f>CONTROLE_DIARIO!H48</f>
        <v>SIM</v>
      </c>
      <c r="I47" s="3" t="str">
        <f>CONTROLE_DIARIO!I48</f>
        <v>SIM</v>
      </c>
      <c r="J47" s="3" t="str">
        <f>CONTROLE_DIARIO!J48</f>
        <v>SIM</v>
      </c>
      <c r="K47" s="3" t="str">
        <f>CONTROLE_DIARIO!K48</f>
        <v>OK</v>
      </c>
      <c r="L47" s="51" t="str">
        <f>CONTROLE_DIARIO!L48</f>
        <v>OK</v>
      </c>
      <c r="M47" s="51">
        <f>CONTROLE_DIARIO!M48</f>
        <v>0</v>
      </c>
      <c r="N47" s="3" t="str">
        <f>CONTROLE_DIARIO!N48</f>
        <v>Qualidade</v>
      </c>
      <c r="O47" s="3" t="str">
        <f>CONTROLE_DIARIO!O48</f>
        <v>Cinthya</v>
      </c>
      <c r="P47" s="51" t="str">
        <f>CONTROLE_DIARIO!P48</f>
        <v>yyyy0507-Loja Pistão-3948</v>
      </c>
      <c r="Q47" s="6">
        <f t="shared" si="5"/>
        <v>1</v>
      </c>
      <c r="R47" s="54" t="str">
        <f t="shared" si="6"/>
        <v>OK</v>
      </c>
      <c r="S47" s="3" t="str">
        <f t="shared" si="7"/>
        <v>mai/yy</v>
      </c>
      <c r="T47" s="3">
        <f t="shared" si="8"/>
        <v>19</v>
      </c>
      <c r="U47" s="3">
        <f t="shared" si="9"/>
        <v>2026</v>
      </c>
      <c r="V47" s="6">
        <f t="shared" si="10"/>
        <v>1</v>
      </c>
      <c r="W47" s="3" t="str">
        <f t="shared" si="11"/>
        <v>OK</v>
      </c>
    </row>
    <row r="48" spans="1:23" x14ac:dyDescent="0.25">
      <c r="A48" s="2">
        <f>CONTROLE_DIARIO!A49</f>
        <v>46148</v>
      </c>
      <c r="B48" s="51" t="str">
        <f>CONTROLE_DIARIO!B49</f>
        <v>Loja ADE</v>
      </c>
      <c r="C48" s="3">
        <f>CONTROLE_DIARIO!C49</f>
        <v>3949</v>
      </c>
      <c r="D48" s="3" t="str">
        <f>CONTROLE_DIARIO!D49</f>
        <v>João Lucas</v>
      </c>
      <c r="E48" s="3" t="str">
        <f>CONTROLE_DIARIO!E49</f>
        <v>Entrega Total</v>
      </c>
      <c r="F48" s="3" t="str">
        <f>CONTROLE_DIARIO!F49</f>
        <v>SIM</v>
      </c>
      <c r="G48" s="3" t="str">
        <f>CONTROLE_DIARIO!G49</f>
        <v>SIM</v>
      </c>
      <c r="H48" s="3" t="str">
        <f>CONTROLE_DIARIO!H49</f>
        <v>SIM</v>
      </c>
      <c r="I48" s="3" t="str">
        <f>CONTROLE_DIARIO!I49</f>
        <v>SIM</v>
      </c>
      <c r="J48" s="3" t="str">
        <f>CONTROLE_DIARIO!J49</f>
        <v>SIM</v>
      </c>
      <c r="K48" s="3" t="str">
        <f>CONTROLE_DIARIO!K49</f>
        <v>OK</v>
      </c>
      <c r="L48" s="51" t="str">
        <f>CONTROLE_DIARIO!L49</f>
        <v>OK</v>
      </c>
      <c r="M48" s="51">
        <f>CONTROLE_DIARIO!M49</f>
        <v>0</v>
      </c>
      <c r="N48" s="3" t="str">
        <f>CONTROLE_DIARIO!N49</f>
        <v>Qualidade</v>
      </c>
      <c r="O48" s="3" t="str">
        <f>CONTROLE_DIARIO!O49</f>
        <v>Danilo</v>
      </c>
      <c r="P48" s="51" t="str">
        <f>CONTROLE_DIARIO!P49</f>
        <v>yyyy0506-Loja ADE-3949</v>
      </c>
      <c r="Q48" s="6">
        <f t="shared" si="5"/>
        <v>1</v>
      </c>
      <c r="R48" s="54" t="str">
        <f t="shared" si="6"/>
        <v>OK</v>
      </c>
      <c r="S48" s="3" t="str">
        <f t="shared" si="7"/>
        <v>mai/yy</v>
      </c>
      <c r="T48" s="3">
        <f t="shared" si="8"/>
        <v>19</v>
      </c>
      <c r="U48" s="3">
        <f t="shared" si="9"/>
        <v>2026</v>
      </c>
      <c r="V48" s="6">
        <f t="shared" si="10"/>
        <v>1</v>
      </c>
      <c r="W48" s="3" t="str">
        <f t="shared" si="11"/>
        <v>OK</v>
      </c>
    </row>
    <row r="49" spans="1:23" x14ac:dyDescent="0.25">
      <c r="A49" s="2">
        <f>CONTROLE_DIARIO!A50</f>
        <v>46148</v>
      </c>
      <c r="B49" s="51" t="str">
        <f>CONTROLE_DIARIO!B50</f>
        <v>Loja ADE</v>
      </c>
      <c r="C49" s="3">
        <f>CONTROLE_DIARIO!C50</f>
        <v>3950</v>
      </c>
      <c r="D49" s="3" t="str">
        <f>CONTROLE_DIARIO!D50</f>
        <v>João Lucas</v>
      </c>
      <c r="E49" s="3" t="str">
        <f>CONTROLE_DIARIO!E50</f>
        <v>Entrega Total</v>
      </c>
      <c r="F49" s="3" t="str">
        <f>CONTROLE_DIARIO!F50</f>
        <v>SIM</v>
      </c>
      <c r="G49" s="3" t="str">
        <f>CONTROLE_DIARIO!G50</f>
        <v>SIM</v>
      </c>
      <c r="H49" s="3" t="str">
        <f>CONTROLE_DIARIO!H50</f>
        <v>SIM</v>
      </c>
      <c r="I49" s="3" t="str">
        <f>CONTROLE_DIARIO!I50</f>
        <v>SIM</v>
      </c>
      <c r="J49" s="3" t="str">
        <f>CONTROLE_DIARIO!J50</f>
        <v>SIM</v>
      </c>
      <c r="K49" s="3" t="str">
        <f>CONTROLE_DIARIO!K50</f>
        <v>OK</v>
      </c>
      <c r="L49" s="51" t="str">
        <f>CONTROLE_DIARIO!L50</f>
        <v>OK</v>
      </c>
      <c r="M49" s="51">
        <f>CONTROLE_DIARIO!M50</f>
        <v>0</v>
      </c>
      <c r="N49" s="3" t="str">
        <f>CONTROLE_DIARIO!N50</f>
        <v>Qualidade</v>
      </c>
      <c r="O49" s="3" t="str">
        <f>CONTROLE_DIARIO!O50</f>
        <v>Danilo</v>
      </c>
      <c r="P49" s="51" t="str">
        <f>CONTROLE_DIARIO!P50</f>
        <v>yyyy0506-Loja ADE-3950</v>
      </c>
      <c r="Q49" s="6">
        <f t="shared" si="5"/>
        <v>1</v>
      </c>
      <c r="R49" s="54" t="str">
        <f t="shared" si="6"/>
        <v>OK</v>
      </c>
      <c r="S49" s="3" t="str">
        <f t="shared" si="7"/>
        <v>mai/yy</v>
      </c>
      <c r="T49" s="3">
        <f t="shared" si="8"/>
        <v>19</v>
      </c>
      <c r="U49" s="3">
        <f t="shared" si="9"/>
        <v>2026</v>
      </c>
      <c r="V49" s="6">
        <f t="shared" si="10"/>
        <v>1</v>
      </c>
      <c r="W49" s="3" t="str">
        <f t="shared" si="11"/>
        <v>OK</v>
      </c>
    </row>
    <row r="50" spans="1:23" x14ac:dyDescent="0.25">
      <c r="A50" s="2">
        <f>CONTROLE_DIARIO!A51</f>
        <v>46150</v>
      </c>
      <c r="B50" s="51" t="str">
        <f>CONTROLE_DIARIO!B51</f>
        <v>Loja Asa Norte</v>
      </c>
      <c r="C50" s="3">
        <f>CONTROLE_DIARIO!C51</f>
        <v>3951</v>
      </c>
      <c r="D50" s="3" t="str">
        <f>CONTROLE_DIARIO!D51</f>
        <v>J. Alessandro</v>
      </c>
      <c r="E50" s="3" t="str">
        <f>CONTROLE_DIARIO!E51</f>
        <v>Entrega Total</v>
      </c>
      <c r="F50" s="3" t="str">
        <f>CONTROLE_DIARIO!F51</f>
        <v>NÃO</v>
      </c>
      <c r="G50" s="3" t="str">
        <f>CONTROLE_DIARIO!G51</f>
        <v>NÃO</v>
      </c>
      <c r="H50" s="3" t="str">
        <f>CONTROLE_DIARIO!H51</f>
        <v>NÃO</v>
      </c>
      <c r="I50" s="3" t="str">
        <f>CONTROLE_DIARIO!I51</f>
        <v>SIM</v>
      </c>
      <c r="J50" s="3" t="str">
        <f>CONTROLE_DIARIO!J51</f>
        <v>NÃO</v>
      </c>
      <c r="K50" s="3" t="str">
        <f>CONTROLE_DIARIO!K51</f>
        <v>NOK</v>
      </c>
      <c r="L50" s="51" t="str">
        <f>CONTROLE_DIARIO!L51</f>
        <v>Outro</v>
      </c>
      <c r="M50" s="51" t="str">
        <f>CONTROLE_DIARIO!M51</f>
        <v>Manifesto não entregue pelo app</v>
      </c>
      <c r="N50" s="3" t="str">
        <f>CONTROLE_DIARIO!N51</f>
        <v>Qualidade</v>
      </c>
      <c r="O50" s="3" t="str">
        <f>CONTROLE_DIARIO!O51</f>
        <v>Neudo</v>
      </c>
      <c r="P50" s="51" t="str">
        <f>CONTROLE_DIARIO!P51</f>
        <v>yyyy0508-Loja Asa Norte-3951</v>
      </c>
      <c r="Q50" s="6">
        <f t="shared" si="5"/>
        <v>0.3</v>
      </c>
      <c r="R50" s="54" t="str">
        <f t="shared" si="6"/>
        <v>FORA APP</v>
      </c>
      <c r="S50" s="3" t="str">
        <f t="shared" si="7"/>
        <v>mai/yy</v>
      </c>
      <c r="T50" s="3">
        <f t="shared" si="8"/>
        <v>19</v>
      </c>
      <c r="U50" s="3">
        <f t="shared" si="9"/>
        <v>2026</v>
      </c>
      <c r="V50" s="6">
        <f t="shared" si="10"/>
        <v>0.3</v>
      </c>
      <c r="W50" s="3" t="str">
        <f t="shared" si="11"/>
        <v>CRÍTICO</v>
      </c>
    </row>
    <row r="51" spans="1:23" x14ac:dyDescent="0.25">
      <c r="A51" s="2">
        <f>CONTROLE_DIARIO!A52</f>
        <v>46148</v>
      </c>
      <c r="B51" s="51" t="str">
        <f>CONTROLE_DIARIO!B52</f>
        <v>Loja ADE</v>
      </c>
      <c r="C51" s="3">
        <f>CONTROLE_DIARIO!C52</f>
        <v>3954</v>
      </c>
      <c r="D51" s="3" t="str">
        <f>CONTROLE_DIARIO!D52</f>
        <v>João Lucas</v>
      </c>
      <c r="E51" s="3" t="str">
        <f>CONTROLE_DIARIO!E52</f>
        <v>Entrega Total</v>
      </c>
      <c r="F51" s="3" t="str">
        <f>CONTROLE_DIARIO!F52</f>
        <v>SIM</v>
      </c>
      <c r="G51" s="3" t="str">
        <f>CONTROLE_DIARIO!G52</f>
        <v>SIM</v>
      </c>
      <c r="H51" s="3" t="str">
        <f>CONTROLE_DIARIO!H52</f>
        <v>SIM</v>
      </c>
      <c r="I51" s="3" t="str">
        <f>CONTROLE_DIARIO!I52</f>
        <v>SIM</v>
      </c>
      <c r="J51" s="3" t="str">
        <f>CONTROLE_DIARIO!J52</f>
        <v>SIM</v>
      </c>
      <c r="K51" s="3" t="str">
        <f>CONTROLE_DIARIO!K52</f>
        <v>OK</v>
      </c>
      <c r="L51" s="51" t="str">
        <f>CONTROLE_DIARIO!L52</f>
        <v>OK</v>
      </c>
      <c r="M51" s="51">
        <f>CONTROLE_DIARIO!M52</f>
        <v>0</v>
      </c>
      <c r="N51" s="3" t="str">
        <f>CONTROLE_DIARIO!N52</f>
        <v>Qualidade</v>
      </c>
      <c r="O51" s="3" t="str">
        <f>CONTROLE_DIARIO!O52</f>
        <v>Danilo</v>
      </c>
      <c r="P51" s="51" t="str">
        <f>CONTROLE_DIARIO!P52</f>
        <v>yyyy0506-Loja ADE-3954</v>
      </c>
      <c r="Q51" s="6">
        <f t="shared" si="5"/>
        <v>1</v>
      </c>
      <c r="R51" s="54" t="str">
        <f t="shared" si="6"/>
        <v>OK</v>
      </c>
      <c r="S51" s="3" t="str">
        <f t="shared" si="7"/>
        <v>mai/yy</v>
      </c>
      <c r="T51" s="3">
        <f t="shared" si="8"/>
        <v>19</v>
      </c>
      <c r="U51" s="3">
        <f t="shared" si="9"/>
        <v>2026</v>
      </c>
      <c r="V51" s="6">
        <f t="shared" si="10"/>
        <v>1</v>
      </c>
      <c r="W51" s="3" t="str">
        <f t="shared" si="11"/>
        <v>OK</v>
      </c>
    </row>
    <row r="52" spans="1:23" x14ac:dyDescent="0.25">
      <c r="A52" s="2">
        <f>CONTROLE_DIARIO!A53</f>
        <v>46149</v>
      </c>
      <c r="B52" s="51" t="str">
        <f>CONTROLE_DIARIO!B53</f>
        <v>Loja Pistão</v>
      </c>
      <c r="C52" s="3">
        <f>CONTROLE_DIARIO!C53</f>
        <v>3955</v>
      </c>
      <c r="D52" s="3" t="str">
        <f>CONTROLE_DIARIO!D53</f>
        <v>João Lucas</v>
      </c>
      <c r="E52" s="3" t="str">
        <f>CONTROLE_DIARIO!E53</f>
        <v>Entrega Total</v>
      </c>
      <c r="F52" s="3" t="str">
        <f>CONTROLE_DIARIO!F53</f>
        <v>SIM</v>
      </c>
      <c r="G52" s="3" t="str">
        <f>CONTROLE_DIARIO!G53</f>
        <v>NÃO</v>
      </c>
      <c r="H52" s="3" t="str">
        <f>CONTROLE_DIARIO!H53</f>
        <v>SIM</v>
      </c>
      <c r="I52" s="3" t="str">
        <f>CONTROLE_DIARIO!I53</f>
        <v>SIM</v>
      </c>
      <c r="J52" s="3" t="str">
        <f>CONTROLE_DIARIO!J53</f>
        <v>NÃO</v>
      </c>
      <c r="K52" s="3" t="str">
        <f>CONTROLE_DIARIO!K53</f>
        <v>NOK</v>
      </c>
      <c r="L52" s="51" t="str">
        <f>CONTROLE_DIARIO!L53</f>
        <v>Sem nenhuma foto</v>
      </c>
      <c r="M52" s="51" t="str">
        <f>CONTROLE_DIARIO!M53</f>
        <v>Foto preta.</v>
      </c>
      <c r="N52" s="3" t="str">
        <f>CONTROLE_DIARIO!N53</f>
        <v>Qualidade</v>
      </c>
      <c r="O52" s="3" t="str">
        <f>CONTROLE_DIARIO!O53</f>
        <v>Cinthya</v>
      </c>
      <c r="P52" s="51" t="str">
        <f>CONTROLE_DIARIO!P53</f>
        <v>yyyy0507-Loja Pistão-3955</v>
      </c>
      <c r="Q52" s="6">
        <f t="shared" si="5"/>
        <v>0.6</v>
      </c>
      <c r="R52" s="54" t="str">
        <f t="shared" si="6"/>
        <v>Sem foto</v>
      </c>
      <c r="S52" s="3" t="str">
        <f t="shared" si="7"/>
        <v>mai/yy</v>
      </c>
      <c r="T52" s="3">
        <f t="shared" si="8"/>
        <v>19</v>
      </c>
      <c r="U52" s="3">
        <f t="shared" si="9"/>
        <v>2026</v>
      </c>
      <c r="V52" s="6">
        <f t="shared" si="10"/>
        <v>0.6</v>
      </c>
      <c r="W52" s="3" t="str">
        <f t="shared" si="11"/>
        <v>CRÍTICO</v>
      </c>
    </row>
    <row r="53" spans="1:23" x14ac:dyDescent="0.25">
      <c r="A53" s="2">
        <f>CONTROLE_DIARIO!A54</f>
        <v>46149</v>
      </c>
      <c r="B53" s="51" t="str">
        <f>CONTROLE_DIARIO!B54</f>
        <v>Loja Pistão</v>
      </c>
      <c r="C53" s="3">
        <f>CONTROLE_DIARIO!C54</f>
        <v>3958</v>
      </c>
      <c r="D53" s="3" t="str">
        <f>CONTROLE_DIARIO!D54</f>
        <v>João Lucas</v>
      </c>
      <c r="E53" s="3" t="str">
        <f>CONTROLE_DIARIO!E54</f>
        <v>Entrega Total</v>
      </c>
      <c r="F53" s="3" t="str">
        <f>CONTROLE_DIARIO!F54</f>
        <v>SIM</v>
      </c>
      <c r="G53" s="3" t="str">
        <f>CONTROLE_DIARIO!G54</f>
        <v>SIM</v>
      </c>
      <c r="H53" s="3" t="str">
        <f>CONTROLE_DIARIO!H54</f>
        <v>SIM</v>
      </c>
      <c r="I53" s="3" t="str">
        <f>CONTROLE_DIARIO!I54</f>
        <v>SIM</v>
      </c>
      <c r="J53" s="3" t="str">
        <f>CONTROLE_DIARIO!J54</f>
        <v>SIM</v>
      </c>
      <c r="K53" s="3" t="str">
        <f>CONTROLE_DIARIO!K54</f>
        <v>OK</v>
      </c>
      <c r="L53" s="51" t="str">
        <f>CONTROLE_DIARIO!L54</f>
        <v>OK</v>
      </c>
      <c r="M53" s="51">
        <f>CONTROLE_DIARIO!M54</f>
        <v>0</v>
      </c>
      <c r="N53" s="3" t="str">
        <f>CONTROLE_DIARIO!N54</f>
        <v>Qualidade</v>
      </c>
      <c r="O53" s="3" t="str">
        <f>CONTROLE_DIARIO!O54</f>
        <v>Cinthya</v>
      </c>
      <c r="P53" s="51" t="str">
        <f>CONTROLE_DIARIO!P54</f>
        <v>yyyy0507-Loja Pistão-3958</v>
      </c>
      <c r="Q53" s="6">
        <f t="shared" si="5"/>
        <v>1</v>
      </c>
      <c r="R53" s="54" t="str">
        <f t="shared" si="6"/>
        <v>OK</v>
      </c>
      <c r="S53" s="3" t="str">
        <f t="shared" si="7"/>
        <v>mai/yy</v>
      </c>
      <c r="T53" s="3">
        <f t="shared" si="8"/>
        <v>19</v>
      </c>
      <c r="U53" s="3">
        <f t="shared" si="9"/>
        <v>2026</v>
      </c>
      <c r="V53" s="6">
        <f t="shared" si="10"/>
        <v>1</v>
      </c>
      <c r="W53" s="3" t="str">
        <f t="shared" si="11"/>
        <v>OK</v>
      </c>
    </row>
    <row r="54" spans="1:23" x14ac:dyDescent="0.25">
      <c r="A54" s="2">
        <f>CONTROLE_DIARIO!A55</f>
        <v>46149</v>
      </c>
      <c r="B54" s="51" t="str">
        <f>CONTROLE_DIARIO!B55</f>
        <v>Loja ADE</v>
      </c>
      <c r="C54" s="3">
        <f>CONTROLE_DIARIO!C55</f>
        <v>3959</v>
      </c>
      <c r="D54" s="3" t="str">
        <f>CONTROLE_DIARIO!D55</f>
        <v>João Lucas</v>
      </c>
      <c r="E54" s="3" t="str">
        <f>CONTROLE_DIARIO!E55</f>
        <v>Entrega Total</v>
      </c>
      <c r="F54" s="3" t="str">
        <f>CONTROLE_DIARIO!F55</f>
        <v>SIM</v>
      </c>
      <c r="G54" s="3" t="str">
        <f>CONTROLE_DIARIO!G55</f>
        <v>SIM</v>
      </c>
      <c r="H54" s="3" t="str">
        <f>CONTROLE_DIARIO!H55</f>
        <v>SIM</v>
      </c>
      <c r="I54" s="3" t="str">
        <f>CONTROLE_DIARIO!I55</f>
        <v>SIM</v>
      </c>
      <c r="J54" s="3" t="str">
        <f>CONTROLE_DIARIO!J55</f>
        <v>SIM</v>
      </c>
      <c r="K54" s="3" t="str">
        <f>CONTROLE_DIARIO!K55</f>
        <v>OK</v>
      </c>
      <c r="L54" s="51" t="str">
        <f>CONTROLE_DIARIO!L55</f>
        <v>OK</v>
      </c>
      <c r="M54" s="51">
        <f>CONTROLE_DIARIO!M55</f>
        <v>0</v>
      </c>
      <c r="N54" s="3" t="str">
        <f>CONTROLE_DIARIO!N55</f>
        <v>Qualidade</v>
      </c>
      <c r="O54" s="3" t="str">
        <f>CONTROLE_DIARIO!O55</f>
        <v>Danilo</v>
      </c>
      <c r="P54" s="51" t="str">
        <f>CONTROLE_DIARIO!P55</f>
        <v>yyyy0507-Loja ADE-3959</v>
      </c>
      <c r="Q54" s="6">
        <f t="shared" si="5"/>
        <v>1</v>
      </c>
      <c r="R54" s="54" t="str">
        <f t="shared" si="6"/>
        <v>OK</v>
      </c>
      <c r="S54" s="3" t="str">
        <f t="shared" si="7"/>
        <v>mai/yy</v>
      </c>
      <c r="T54" s="3">
        <f t="shared" si="8"/>
        <v>19</v>
      </c>
      <c r="U54" s="3">
        <f t="shared" si="9"/>
        <v>2026</v>
      </c>
      <c r="V54" s="6">
        <f t="shared" si="10"/>
        <v>1</v>
      </c>
      <c r="W54" s="3" t="str">
        <f t="shared" si="11"/>
        <v>OK</v>
      </c>
    </row>
    <row r="55" spans="1:23" x14ac:dyDescent="0.25">
      <c r="A55" s="2">
        <f>CONTROLE_DIARIO!A56</f>
        <v>46149</v>
      </c>
      <c r="B55" s="51" t="str">
        <f>CONTROLE_DIARIO!B56</f>
        <v>Loja Valparaiso</v>
      </c>
      <c r="C55" s="3">
        <f>CONTROLE_DIARIO!C56</f>
        <v>3960</v>
      </c>
      <c r="D55" s="3" t="str">
        <f>CONTROLE_DIARIO!D56</f>
        <v>Wederson C.</v>
      </c>
      <c r="E55" s="3" t="str">
        <f>CONTROLE_DIARIO!E56</f>
        <v>Entrega Total</v>
      </c>
      <c r="F55" s="3" t="str">
        <f>CONTROLE_DIARIO!F56</f>
        <v>NÃO</v>
      </c>
      <c r="G55" s="3" t="str">
        <f>CONTROLE_DIARIO!G56</f>
        <v>NÃO</v>
      </c>
      <c r="H55" s="3" t="str">
        <f>CONTROLE_DIARIO!H56</f>
        <v>NÃO</v>
      </c>
      <c r="I55" s="3" t="str">
        <f>CONTROLE_DIARIO!I56</f>
        <v>SIM</v>
      </c>
      <c r="J55" s="3" t="str">
        <f>CONTROLE_DIARIO!J56</f>
        <v>NÃO</v>
      </c>
      <c r="K55" s="3" t="str">
        <f>CONTROLE_DIARIO!K56</f>
        <v>NOK</v>
      </c>
      <c r="L55" s="51" t="str">
        <f>CONTROLE_DIARIO!L56</f>
        <v>Outro</v>
      </c>
      <c r="M55" s="51" t="str">
        <f>CONTROLE_DIARIO!M56</f>
        <v>Manifesto não entregue pelo app</v>
      </c>
      <c r="N55" s="3" t="str">
        <f>CONTROLE_DIARIO!N56</f>
        <v>Qualidade</v>
      </c>
      <c r="O55" s="3" t="str">
        <f>CONTROLE_DIARIO!O56</f>
        <v>Cleonice</v>
      </c>
      <c r="P55" s="51" t="str">
        <f>CONTROLE_DIARIO!P56</f>
        <v>yyyy0507-Loja Valparaiso-3960</v>
      </c>
      <c r="Q55" s="6">
        <f t="shared" si="5"/>
        <v>0.3</v>
      </c>
      <c r="R55" s="54" t="str">
        <f t="shared" si="6"/>
        <v>FORA APP</v>
      </c>
      <c r="S55" s="3" t="str">
        <f t="shared" si="7"/>
        <v>mai/yy</v>
      </c>
      <c r="T55" s="3">
        <f t="shared" si="8"/>
        <v>19</v>
      </c>
      <c r="U55" s="3">
        <f t="shared" si="9"/>
        <v>2026</v>
      </c>
      <c r="V55" s="6">
        <f t="shared" si="10"/>
        <v>0.3</v>
      </c>
      <c r="W55" s="3" t="str">
        <f t="shared" si="11"/>
        <v>CRÍTICO</v>
      </c>
    </row>
    <row r="56" spans="1:23" x14ac:dyDescent="0.25">
      <c r="A56" s="2">
        <f>CONTROLE_DIARIO!A57</f>
        <v>46149</v>
      </c>
      <c r="B56" s="51" t="str">
        <f>CONTROLE_DIARIO!B57</f>
        <v>Loja ADE</v>
      </c>
      <c r="C56" s="3">
        <f>CONTROLE_DIARIO!C57</f>
        <v>3961</v>
      </c>
      <c r="D56" s="3" t="str">
        <f>CONTROLE_DIARIO!D57</f>
        <v>João Lucas</v>
      </c>
      <c r="E56" s="3" t="str">
        <f>CONTROLE_DIARIO!E57</f>
        <v>Entrega Total</v>
      </c>
      <c r="F56" s="3" t="str">
        <f>CONTROLE_DIARIO!F57</f>
        <v>SIM</v>
      </c>
      <c r="G56" s="3" t="str">
        <f>CONTROLE_DIARIO!G57</f>
        <v>SIM</v>
      </c>
      <c r="H56" s="3" t="str">
        <f>CONTROLE_DIARIO!H57</f>
        <v>SIM</v>
      </c>
      <c r="I56" s="3" t="str">
        <f>CONTROLE_DIARIO!I57</f>
        <v>SIM</v>
      </c>
      <c r="J56" s="3" t="str">
        <f>CONTROLE_DIARIO!J57</f>
        <v>SIM</v>
      </c>
      <c r="K56" s="3" t="str">
        <f>CONTROLE_DIARIO!K57</f>
        <v>OK</v>
      </c>
      <c r="L56" s="51" t="str">
        <f>CONTROLE_DIARIO!L57</f>
        <v>OK</v>
      </c>
      <c r="M56" s="51">
        <f>CONTROLE_DIARIO!M57</f>
        <v>0</v>
      </c>
      <c r="N56" s="3" t="str">
        <f>CONTROLE_DIARIO!N57</f>
        <v>Qualidade</v>
      </c>
      <c r="O56" s="3" t="str">
        <f>CONTROLE_DIARIO!O57</f>
        <v>Danilo</v>
      </c>
      <c r="P56" s="51" t="str">
        <f>CONTROLE_DIARIO!P57</f>
        <v>yyyy0507-Loja ADE-3961</v>
      </c>
      <c r="Q56" s="6">
        <f t="shared" si="5"/>
        <v>1</v>
      </c>
      <c r="R56" s="54" t="str">
        <f t="shared" si="6"/>
        <v>OK</v>
      </c>
      <c r="S56" s="3" t="str">
        <f t="shared" si="7"/>
        <v>mai/yy</v>
      </c>
      <c r="T56" s="3">
        <f t="shared" si="8"/>
        <v>19</v>
      </c>
      <c r="U56" s="3">
        <f t="shared" si="9"/>
        <v>2026</v>
      </c>
      <c r="V56" s="6">
        <f t="shared" si="10"/>
        <v>1</v>
      </c>
      <c r="W56" s="3" t="str">
        <f t="shared" si="11"/>
        <v>OK</v>
      </c>
    </row>
    <row r="57" spans="1:23" x14ac:dyDescent="0.25">
      <c r="A57" s="2">
        <f>CONTROLE_DIARIO!A58</f>
        <v>46149</v>
      </c>
      <c r="B57" s="51" t="str">
        <f>CONTROLE_DIARIO!B58</f>
        <v>Loja Valparaiso</v>
      </c>
      <c r="C57" s="3">
        <f>CONTROLE_DIARIO!C58</f>
        <v>3962</v>
      </c>
      <c r="D57" s="3" t="str">
        <f>CONTROLE_DIARIO!D58</f>
        <v>Wederson C.</v>
      </c>
      <c r="E57" s="3" t="str">
        <f>CONTROLE_DIARIO!E58</f>
        <v>Entrega Total</v>
      </c>
      <c r="F57" s="3" t="str">
        <f>CONTROLE_DIARIO!F58</f>
        <v>NÃO</v>
      </c>
      <c r="G57" s="3" t="str">
        <f>CONTROLE_DIARIO!G58</f>
        <v>NÃO</v>
      </c>
      <c r="H57" s="3" t="str">
        <f>CONTROLE_DIARIO!H58</f>
        <v>NÃO</v>
      </c>
      <c r="I57" s="3" t="str">
        <f>CONTROLE_DIARIO!I58</f>
        <v>SIM</v>
      </c>
      <c r="J57" s="3" t="str">
        <f>CONTROLE_DIARIO!J58</f>
        <v>NÃO</v>
      </c>
      <c r="K57" s="3" t="str">
        <f>CONTROLE_DIARIO!K58</f>
        <v>NOK</v>
      </c>
      <c r="L57" s="51" t="str">
        <f>CONTROLE_DIARIO!L58</f>
        <v>Outro</v>
      </c>
      <c r="M57" s="51" t="str">
        <f>CONTROLE_DIARIO!M58</f>
        <v>Manifesto não entregue pelo app</v>
      </c>
      <c r="N57" s="3" t="str">
        <f>CONTROLE_DIARIO!N58</f>
        <v>Qualidade</v>
      </c>
      <c r="O57" s="3" t="str">
        <f>CONTROLE_DIARIO!O58</f>
        <v>Cleonice</v>
      </c>
      <c r="P57" s="51" t="str">
        <f>CONTROLE_DIARIO!P58</f>
        <v>yyyy0507-Loja Valparaiso-3962</v>
      </c>
      <c r="Q57" s="6">
        <f t="shared" si="5"/>
        <v>0.3</v>
      </c>
      <c r="R57" s="54" t="str">
        <f t="shared" si="6"/>
        <v>FORA APP</v>
      </c>
      <c r="S57" s="3" t="str">
        <f t="shared" si="7"/>
        <v>mai/yy</v>
      </c>
      <c r="T57" s="3">
        <f t="shared" si="8"/>
        <v>19</v>
      </c>
      <c r="U57" s="3">
        <f t="shared" si="9"/>
        <v>2026</v>
      </c>
      <c r="V57" s="6">
        <f t="shared" si="10"/>
        <v>0.3</v>
      </c>
      <c r="W57" s="3" t="str">
        <f t="shared" si="11"/>
        <v>CRÍTICO</v>
      </c>
    </row>
    <row r="58" spans="1:23" x14ac:dyDescent="0.25">
      <c r="A58" s="2">
        <f>CONTROLE_DIARIO!A59</f>
        <v>46149</v>
      </c>
      <c r="B58" s="51" t="str">
        <f>CONTROLE_DIARIO!B59</f>
        <v>Loja Valparaiso</v>
      </c>
      <c r="C58" s="3">
        <f>CONTROLE_DIARIO!C59</f>
        <v>3963</v>
      </c>
      <c r="D58" s="3" t="str">
        <f>CONTROLE_DIARIO!D59</f>
        <v>Wederson C.</v>
      </c>
      <c r="E58" s="3" t="str">
        <f>CONTROLE_DIARIO!E59</f>
        <v>Entrega Total</v>
      </c>
      <c r="F58" s="3" t="str">
        <f>CONTROLE_DIARIO!F59</f>
        <v>NÃO</v>
      </c>
      <c r="G58" s="3" t="str">
        <f>CONTROLE_DIARIO!G59</f>
        <v>NÃO</v>
      </c>
      <c r="H58" s="3" t="str">
        <f>CONTROLE_DIARIO!H59</f>
        <v>NÃO</v>
      </c>
      <c r="I58" s="3" t="str">
        <f>CONTROLE_DIARIO!I59</f>
        <v>SIM</v>
      </c>
      <c r="J58" s="3" t="str">
        <f>CONTROLE_DIARIO!J59</f>
        <v>NÃO</v>
      </c>
      <c r="K58" s="3" t="str">
        <f>CONTROLE_DIARIO!K59</f>
        <v>NOK</v>
      </c>
      <c r="L58" s="51" t="str">
        <f>CONTROLE_DIARIO!L59</f>
        <v>Outro</v>
      </c>
      <c r="M58" s="51" t="str">
        <f>CONTROLE_DIARIO!M59</f>
        <v>Manifesto não entregue pelo app</v>
      </c>
      <c r="N58" s="3" t="str">
        <f>CONTROLE_DIARIO!N59</f>
        <v>Qualidade</v>
      </c>
      <c r="O58" s="3" t="str">
        <f>CONTROLE_DIARIO!O59</f>
        <v>Cleonice</v>
      </c>
      <c r="P58" s="51" t="str">
        <f>CONTROLE_DIARIO!P59</f>
        <v>yyyy0507-Loja Valparaiso-3963</v>
      </c>
      <c r="Q58" s="6">
        <f t="shared" si="5"/>
        <v>0.3</v>
      </c>
      <c r="R58" s="54" t="str">
        <f t="shared" si="6"/>
        <v>FORA APP</v>
      </c>
      <c r="S58" s="3" t="str">
        <f t="shared" si="7"/>
        <v>mai/yy</v>
      </c>
      <c r="T58" s="3">
        <f t="shared" si="8"/>
        <v>19</v>
      </c>
      <c r="U58" s="3">
        <f t="shared" si="9"/>
        <v>2026</v>
      </c>
      <c r="V58" s="6">
        <f t="shared" si="10"/>
        <v>0.3</v>
      </c>
      <c r="W58" s="3" t="str">
        <f t="shared" si="11"/>
        <v>CRÍTICO</v>
      </c>
    </row>
    <row r="59" spans="1:23" x14ac:dyDescent="0.25">
      <c r="A59" s="2">
        <f>CONTROLE_DIARIO!A60</f>
        <v>46149</v>
      </c>
      <c r="B59" s="51" t="str">
        <f>CONTROLE_DIARIO!B60</f>
        <v>Loja Valparaiso</v>
      </c>
      <c r="C59" s="3">
        <f>CONTROLE_DIARIO!C60</f>
        <v>3964</v>
      </c>
      <c r="D59" s="3" t="str">
        <f>CONTROLE_DIARIO!D60</f>
        <v>Wederson C.</v>
      </c>
      <c r="E59" s="3" t="str">
        <f>CONTROLE_DIARIO!E60</f>
        <v>Entrega Total</v>
      </c>
      <c r="F59" s="3" t="str">
        <f>CONTROLE_DIARIO!F60</f>
        <v>NÃO</v>
      </c>
      <c r="G59" s="3" t="str">
        <f>CONTROLE_DIARIO!G60</f>
        <v>NÃO</v>
      </c>
      <c r="H59" s="3" t="str">
        <f>CONTROLE_DIARIO!H60</f>
        <v>NÃO</v>
      </c>
      <c r="I59" s="3" t="str">
        <f>CONTROLE_DIARIO!I60</f>
        <v>SIM</v>
      </c>
      <c r="J59" s="3" t="str">
        <f>CONTROLE_DIARIO!J60</f>
        <v>NÃO</v>
      </c>
      <c r="K59" s="3" t="str">
        <f>CONTROLE_DIARIO!K60</f>
        <v>NOK</v>
      </c>
      <c r="L59" s="51" t="str">
        <f>CONTROLE_DIARIO!L60</f>
        <v>Outro</v>
      </c>
      <c r="M59" s="51" t="str">
        <f>CONTROLE_DIARIO!M60</f>
        <v>Manifesto não entregue pelo app</v>
      </c>
      <c r="N59" s="3" t="str">
        <f>CONTROLE_DIARIO!N60</f>
        <v>Qualidade</v>
      </c>
      <c r="O59" s="3" t="str">
        <f>CONTROLE_DIARIO!O60</f>
        <v>Cleonice</v>
      </c>
      <c r="P59" s="51" t="str">
        <f>CONTROLE_DIARIO!P60</f>
        <v>yyyy0507-Loja Valparaiso-3964</v>
      </c>
      <c r="Q59" s="6">
        <f t="shared" si="5"/>
        <v>0.3</v>
      </c>
      <c r="R59" s="54" t="str">
        <f t="shared" si="6"/>
        <v>FORA APP</v>
      </c>
      <c r="S59" s="3" t="str">
        <f t="shared" si="7"/>
        <v>mai/yy</v>
      </c>
      <c r="T59" s="3">
        <f t="shared" si="8"/>
        <v>19</v>
      </c>
      <c r="U59" s="3">
        <f t="shared" si="9"/>
        <v>2026</v>
      </c>
      <c r="V59" s="6">
        <f t="shared" si="10"/>
        <v>0.3</v>
      </c>
      <c r="W59" s="3" t="str">
        <f t="shared" si="11"/>
        <v>CRÍTICO</v>
      </c>
    </row>
    <row r="60" spans="1:23" x14ac:dyDescent="0.25">
      <c r="A60" s="2">
        <f>CONTROLE_DIARIO!A61</f>
        <v>46149</v>
      </c>
      <c r="B60" s="51" t="str">
        <f>CONTROLE_DIARIO!B61</f>
        <v>Loja Valparaiso</v>
      </c>
      <c r="C60" s="3">
        <f>CONTROLE_DIARIO!C61</f>
        <v>3965</v>
      </c>
      <c r="D60" s="3" t="str">
        <f>CONTROLE_DIARIO!D61</f>
        <v>Wederson C.</v>
      </c>
      <c r="E60" s="3" t="str">
        <f>CONTROLE_DIARIO!E61</f>
        <v>Entrega Total</v>
      </c>
      <c r="F60" s="3" t="str">
        <f>CONTROLE_DIARIO!F61</f>
        <v>SIM</v>
      </c>
      <c r="G60" s="3" t="str">
        <f>CONTROLE_DIARIO!G61</f>
        <v>SIM</v>
      </c>
      <c r="H60" s="3" t="str">
        <f>CONTROLE_DIARIO!H61</f>
        <v>SIM</v>
      </c>
      <c r="I60" s="3" t="str">
        <f>CONTROLE_DIARIO!I61</f>
        <v>SIM</v>
      </c>
      <c r="J60" s="3" t="str">
        <f>CONTROLE_DIARIO!J61</f>
        <v>SIM</v>
      </c>
      <c r="K60" s="3" t="str">
        <f>CONTROLE_DIARIO!K61</f>
        <v>OK</v>
      </c>
      <c r="L60" s="51" t="str">
        <f>CONTROLE_DIARIO!L61</f>
        <v>Sem foto fachada</v>
      </c>
      <c r="M60" s="51">
        <f>CONTROLE_DIARIO!M61</f>
        <v>0</v>
      </c>
      <c r="N60" s="3" t="str">
        <f>CONTROLE_DIARIO!N61</f>
        <v>Qualidade</v>
      </c>
      <c r="O60" s="3" t="str">
        <f>CONTROLE_DIARIO!O61</f>
        <v>Cleonice</v>
      </c>
      <c r="P60" s="51" t="str">
        <f>CONTROLE_DIARIO!P61</f>
        <v>yyyy0507-Loja Valparaiso-3965</v>
      </c>
      <c r="Q60" s="6">
        <f t="shared" si="5"/>
        <v>1</v>
      </c>
      <c r="R60" s="54" t="str">
        <f t="shared" si="6"/>
        <v>OK</v>
      </c>
      <c r="S60" s="3" t="str">
        <f t="shared" si="7"/>
        <v>mai/yy</v>
      </c>
      <c r="T60" s="3">
        <f t="shared" si="8"/>
        <v>19</v>
      </c>
      <c r="U60" s="3">
        <f t="shared" si="9"/>
        <v>2026</v>
      </c>
      <c r="V60" s="6">
        <f t="shared" si="10"/>
        <v>1</v>
      </c>
      <c r="W60" s="3" t="str">
        <f t="shared" si="11"/>
        <v>OK</v>
      </c>
    </row>
    <row r="61" spans="1:23" x14ac:dyDescent="0.25">
      <c r="A61" s="2">
        <f>CONTROLE_DIARIO!A62</f>
        <v>46149</v>
      </c>
      <c r="B61" s="51" t="str">
        <f>CONTROLE_DIARIO!B62</f>
        <v>Loja Pistão</v>
      </c>
      <c r="C61" s="3">
        <f>CONTROLE_DIARIO!C62</f>
        <v>3966</v>
      </c>
      <c r="D61" s="3" t="str">
        <f>CONTROLE_DIARIO!D62</f>
        <v>João Lucas</v>
      </c>
      <c r="E61" s="3" t="str">
        <f>CONTROLE_DIARIO!E62</f>
        <v>Entrega Total</v>
      </c>
      <c r="F61" s="3" t="str">
        <f>CONTROLE_DIARIO!F62</f>
        <v>SIM</v>
      </c>
      <c r="G61" s="3" t="str">
        <f>CONTROLE_DIARIO!G62</f>
        <v>SIM</v>
      </c>
      <c r="H61" s="3" t="str">
        <f>CONTROLE_DIARIO!H62</f>
        <v>SIM</v>
      </c>
      <c r="I61" s="3" t="str">
        <f>CONTROLE_DIARIO!I62</f>
        <v>SIM</v>
      </c>
      <c r="J61" s="3" t="str">
        <f>CONTROLE_DIARIO!J62</f>
        <v>SIM</v>
      </c>
      <c r="K61" s="3" t="str">
        <f>CONTROLE_DIARIO!K62</f>
        <v>OK</v>
      </c>
      <c r="L61" s="51" t="str">
        <f>CONTROLE_DIARIO!L62</f>
        <v>OK</v>
      </c>
      <c r="M61" s="51">
        <f>CONTROLE_DIARIO!M62</f>
        <v>0</v>
      </c>
      <c r="N61" s="3" t="str">
        <f>CONTROLE_DIARIO!N62</f>
        <v>Qualidade</v>
      </c>
      <c r="O61" s="3" t="str">
        <f>CONTROLE_DIARIO!O62</f>
        <v>Cinthya</v>
      </c>
      <c r="P61" s="51" t="str">
        <f>CONTROLE_DIARIO!P62</f>
        <v>yyyy0507-Loja Pistão-3966</v>
      </c>
      <c r="Q61" s="6">
        <f t="shared" si="5"/>
        <v>1</v>
      </c>
      <c r="R61" s="54" t="str">
        <f t="shared" si="6"/>
        <v>OK</v>
      </c>
      <c r="S61" s="3" t="str">
        <f t="shared" si="7"/>
        <v>mai/yy</v>
      </c>
      <c r="T61" s="3">
        <f t="shared" si="8"/>
        <v>19</v>
      </c>
      <c r="U61" s="3">
        <f t="shared" si="9"/>
        <v>2026</v>
      </c>
      <c r="V61" s="6">
        <f t="shared" si="10"/>
        <v>1</v>
      </c>
      <c r="W61" s="3" t="str">
        <f t="shared" si="11"/>
        <v>OK</v>
      </c>
    </row>
    <row r="62" spans="1:23" x14ac:dyDescent="0.25">
      <c r="A62" s="2">
        <f>CONTROLE_DIARIO!A63</f>
        <v>46149</v>
      </c>
      <c r="B62" s="51" t="str">
        <f>CONTROLE_DIARIO!B63</f>
        <v>Loja Valparaiso</v>
      </c>
      <c r="C62" s="3">
        <f>CONTROLE_DIARIO!C63</f>
        <v>3967</v>
      </c>
      <c r="D62" s="3" t="str">
        <f>CONTROLE_DIARIO!D63</f>
        <v>Wederson C.</v>
      </c>
      <c r="E62" s="3" t="str">
        <f>CONTROLE_DIARIO!E63</f>
        <v>Entrega Total</v>
      </c>
      <c r="F62" s="3" t="str">
        <f>CONTROLE_DIARIO!F63</f>
        <v>SIM</v>
      </c>
      <c r="G62" s="3" t="str">
        <f>CONTROLE_DIARIO!G63</f>
        <v>SIM</v>
      </c>
      <c r="H62" s="3" t="str">
        <f>CONTROLE_DIARIO!H63</f>
        <v>SIM</v>
      </c>
      <c r="I62" s="3" t="str">
        <f>CONTROLE_DIARIO!I63</f>
        <v>SIM</v>
      </c>
      <c r="J62" s="3" t="str">
        <f>CONTROLE_DIARIO!J63</f>
        <v>SIM</v>
      </c>
      <c r="K62" s="3" t="str">
        <f>CONTROLE_DIARIO!K63</f>
        <v>OK</v>
      </c>
      <c r="L62" s="51" t="str">
        <f>CONTROLE_DIARIO!L63</f>
        <v>Sem foto fachada</v>
      </c>
      <c r="M62" s="51">
        <f>CONTROLE_DIARIO!M63</f>
        <v>0</v>
      </c>
      <c r="N62" s="3" t="str">
        <f>CONTROLE_DIARIO!N63</f>
        <v>Qualidade</v>
      </c>
      <c r="O62" s="3" t="str">
        <f>CONTROLE_DIARIO!O63</f>
        <v>Cleonice</v>
      </c>
      <c r="P62" s="51" t="str">
        <f>CONTROLE_DIARIO!P63</f>
        <v>yyyy0507-Loja Valparaiso-3967</v>
      </c>
      <c r="Q62" s="6">
        <f t="shared" si="5"/>
        <v>1</v>
      </c>
      <c r="R62" s="54" t="str">
        <f t="shared" si="6"/>
        <v>OK</v>
      </c>
      <c r="S62" s="3" t="str">
        <f t="shared" si="7"/>
        <v>mai/yy</v>
      </c>
      <c r="T62" s="3">
        <f t="shared" si="8"/>
        <v>19</v>
      </c>
      <c r="U62" s="3">
        <f t="shared" si="9"/>
        <v>2026</v>
      </c>
      <c r="V62" s="6">
        <f t="shared" si="10"/>
        <v>1</v>
      </c>
      <c r="W62" s="3" t="str">
        <f t="shared" si="11"/>
        <v>OK</v>
      </c>
    </row>
    <row r="63" spans="1:23" x14ac:dyDescent="0.25">
      <c r="A63" s="2">
        <f>CONTROLE_DIARIO!A64</f>
        <v>46149</v>
      </c>
      <c r="B63" s="51" t="str">
        <f>CONTROLE_DIARIO!B64</f>
        <v>Loja Valparaiso</v>
      </c>
      <c r="C63" s="3">
        <f>CONTROLE_DIARIO!C64</f>
        <v>3968</v>
      </c>
      <c r="D63" s="3" t="str">
        <f>CONTROLE_DIARIO!D64</f>
        <v>Wederson C.</v>
      </c>
      <c r="E63" s="3" t="str">
        <f>CONTROLE_DIARIO!E64</f>
        <v>Entrega Total</v>
      </c>
      <c r="F63" s="3" t="str">
        <f>CONTROLE_DIARIO!F64</f>
        <v>SIM</v>
      </c>
      <c r="G63" s="3" t="str">
        <f>CONTROLE_DIARIO!G64</f>
        <v>SIM</v>
      </c>
      <c r="H63" s="3" t="str">
        <f>CONTROLE_DIARIO!H64</f>
        <v>SIM</v>
      </c>
      <c r="I63" s="3" t="str">
        <f>CONTROLE_DIARIO!I64</f>
        <v>SIM</v>
      </c>
      <c r="J63" s="3" t="str">
        <f>CONTROLE_DIARIO!J64</f>
        <v>SIM</v>
      </c>
      <c r="K63" s="3" t="str">
        <f>CONTROLE_DIARIO!K64</f>
        <v>OK</v>
      </c>
      <c r="L63" s="51" t="str">
        <f>CONTROLE_DIARIO!L64</f>
        <v>Sem foto fachada</v>
      </c>
      <c r="M63" s="51">
        <f>CONTROLE_DIARIO!M64</f>
        <v>0</v>
      </c>
      <c r="N63" s="3" t="str">
        <f>CONTROLE_DIARIO!N64</f>
        <v>Qualidade</v>
      </c>
      <c r="O63" s="3" t="str">
        <f>CONTROLE_DIARIO!O64</f>
        <v>Cleonice</v>
      </c>
      <c r="P63" s="51" t="str">
        <f>CONTROLE_DIARIO!P64</f>
        <v>yyyy0507-Loja Valparaiso-3968</v>
      </c>
      <c r="Q63" s="6">
        <f t="shared" si="5"/>
        <v>1</v>
      </c>
      <c r="R63" s="54" t="str">
        <f t="shared" si="6"/>
        <v>OK</v>
      </c>
      <c r="S63" s="3" t="str">
        <f t="shared" si="7"/>
        <v>mai/yy</v>
      </c>
      <c r="T63" s="3">
        <f t="shared" si="8"/>
        <v>19</v>
      </c>
      <c r="U63" s="3">
        <f t="shared" si="9"/>
        <v>2026</v>
      </c>
      <c r="V63" s="6">
        <f t="shared" si="10"/>
        <v>1</v>
      </c>
      <c r="W63" s="3" t="str">
        <f t="shared" si="11"/>
        <v>OK</v>
      </c>
    </row>
    <row r="64" spans="1:23" x14ac:dyDescent="0.25">
      <c r="A64" s="2">
        <f>CONTROLE_DIARIO!A65</f>
        <v>46149</v>
      </c>
      <c r="B64" s="51" t="str">
        <f>CONTROLE_DIARIO!B65</f>
        <v>Loja Valparaiso</v>
      </c>
      <c r="C64" s="3">
        <f>CONTROLE_DIARIO!C65</f>
        <v>3969</v>
      </c>
      <c r="D64" s="3" t="str">
        <f>CONTROLE_DIARIO!D65</f>
        <v>Wederson C.</v>
      </c>
      <c r="E64" s="3" t="str">
        <f>CONTROLE_DIARIO!E65</f>
        <v>Entrega Total</v>
      </c>
      <c r="F64" s="3" t="str">
        <f>CONTROLE_DIARIO!F65</f>
        <v>NÃO</v>
      </c>
      <c r="G64" s="3" t="str">
        <f>CONTROLE_DIARIO!G65</f>
        <v>NÃO</v>
      </c>
      <c r="H64" s="3" t="str">
        <f>CONTROLE_DIARIO!H65</f>
        <v>NÃO</v>
      </c>
      <c r="I64" s="3" t="str">
        <f>CONTROLE_DIARIO!I65</f>
        <v>SIM</v>
      </c>
      <c r="J64" s="3" t="str">
        <f>CONTROLE_DIARIO!J65</f>
        <v>NÃO</v>
      </c>
      <c r="K64" s="3" t="str">
        <f>CONTROLE_DIARIO!K65</f>
        <v>NOK</v>
      </c>
      <c r="L64" s="51" t="str">
        <f>CONTROLE_DIARIO!L65</f>
        <v>Outro</v>
      </c>
      <c r="M64" s="51" t="str">
        <f>CONTROLE_DIARIO!M65</f>
        <v>Manifesto não entregue pelo app</v>
      </c>
      <c r="N64" s="3" t="str">
        <f>CONTROLE_DIARIO!N65</f>
        <v>Qualidade</v>
      </c>
      <c r="O64" s="3" t="str">
        <f>CONTROLE_DIARIO!O65</f>
        <v>Cleonice</v>
      </c>
      <c r="P64" s="51" t="str">
        <f>CONTROLE_DIARIO!P65</f>
        <v>yyyy0507-Loja Valparaiso-3969</v>
      </c>
      <c r="Q64" s="6">
        <f t="shared" si="5"/>
        <v>0.3</v>
      </c>
      <c r="R64" s="54" t="str">
        <f t="shared" si="6"/>
        <v>FORA APP</v>
      </c>
      <c r="S64" s="3" t="str">
        <f t="shared" si="7"/>
        <v>mai/yy</v>
      </c>
      <c r="T64" s="3">
        <f t="shared" si="8"/>
        <v>19</v>
      </c>
      <c r="U64" s="3">
        <f t="shared" si="9"/>
        <v>2026</v>
      </c>
      <c r="V64" s="6">
        <f t="shared" si="10"/>
        <v>0.3</v>
      </c>
      <c r="W64" s="3" t="str">
        <f t="shared" si="11"/>
        <v>CRÍTICO</v>
      </c>
    </row>
    <row r="65" spans="1:23" x14ac:dyDescent="0.25">
      <c r="A65" s="2">
        <f>CONTROLE_DIARIO!A66</f>
        <v>46149</v>
      </c>
      <c r="B65" s="51" t="str">
        <f>CONTROLE_DIARIO!B66</f>
        <v>Loja Valparaiso</v>
      </c>
      <c r="C65" s="3">
        <f>CONTROLE_DIARIO!C66</f>
        <v>3970</v>
      </c>
      <c r="D65" s="3" t="str">
        <f>CONTROLE_DIARIO!D66</f>
        <v>Wederson C.</v>
      </c>
      <c r="E65" s="3" t="str">
        <f>CONTROLE_DIARIO!E66</f>
        <v>Entrega Total</v>
      </c>
      <c r="F65" s="3" t="str">
        <f>CONTROLE_DIARIO!F66</f>
        <v>SIM</v>
      </c>
      <c r="G65" s="3" t="str">
        <f>CONTROLE_DIARIO!G66</f>
        <v>SIM</v>
      </c>
      <c r="H65" s="3" t="str">
        <f>CONTROLE_DIARIO!H66</f>
        <v>SIM</v>
      </c>
      <c r="I65" s="3" t="str">
        <f>CONTROLE_DIARIO!I66</f>
        <v>SIM</v>
      </c>
      <c r="J65" s="3" t="str">
        <f>CONTROLE_DIARIO!J66</f>
        <v>SIM</v>
      </c>
      <c r="K65" s="3" t="str">
        <f>CONTROLE_DIARIO!K66</f>
        <v>OK</v>
      </c>
      <c r="L65" s="51" t="str">
        <f>CONTROLE_DIARIO!L66</f>
        <v>Sem foto fachada</v>
      </c>
      <c r="M65" s="51">
        <f>CONTROLE_DIARIO!M66</f>
        <v>0</v>
      </c>
      <c r="N65" s="3" t="str">
        <f>CONTROLE_DIARIO!N66</f>
        <v>Qualidade</v>
      </c>
      <c r="O65" s="3" t="str">
        <f>CONTROLE_DIARIO!O66</f>
        <v>Cleonice</v>
      </c>
      <c r="P65" s="51" t="str">
        <f>CONTROLE_DIARIO!P66</f>
        <v>yyyy0507-Loja Valparaiso-3970</v>
      </c>
      <c r="Q65" s="6">
        <f t="shared" si="5"/>
        <v>1</v>
      </c>
      <c r="R65" s="54" t="str">
        <f t="shared" si="6"/>
        <v>OK</v>
      </c>
      <c r="S65" s="3" t="str">
        <f t="shared" si="7"/>
        <v>mai/yy</v>
      </c>
      <c r="T65" s="3">
        <f t="shared" si="8"/>
        <v>19</v>
      </c>
      <c r="U65" s="3">
        <f t="shared" si="9"/>
        <v>2026</v>
      </c>
      <c r="V65" s="6">
        <f t="shared" si="10"/>
        <v>1</v>
      </c>
      <c r="W65" s="3" t="str">
        <f t="shared" si="11"/>
        <v>OK</v>
      </c>
    </row>
    <row r="66" spans="1:23" x14ac:dyDescent="0.25">
      <c r="A66" s="2">
        <f>CONTROLE_DIARIO!A67</f>
        <v>46153</v>
      </c>
      <c r="B66" s="51" t="str">
        <f>CONTROLE_DIARIO!B67</f>
        <v>Loja Valparaiso</v>
      </c>
      <c r="C66" s="3">
        <f>CONTROLE_DIARIO!C67</f>
        <v>3971</v>
      </c>
      <c r="D66" s="3" t="str">
        <f>CONTROLE_DIARIO!D67</f>
        <v>Wederson C.</v>
      </c>
      <c r="E66" s="3" t="str">
        <f>CONTROLE_DIARIO!E67</f>
        <v>Entrega Total</v>
      </c>
      <c r="F66" s="3" t="str">
        <f>CONTROLE_DIARIO!F67</f>
        <v>SIM</v>
      </c>
      <c r="G66" s="3" t="str">
        <f>CONTROLE_DIARIO!G67</f>
        <v>SIM</v>
      </c>
      <c r="H66" s="3" t="str">
        <f>CONTROLE_DIARIO!H67</f>
        <v>SIM</v>
      </c>
      <c r="I66" s="3" t="str">
        <f>CONTROLE_DIARIO!I67</f>
        <v>SIM</v>
      </c>
      <c r="J66" s="3" t="str">
        <f>CONTROLE_DIARIO!J67</f>
        <v>SIM</v>
      </c>
      <c r="K66" s="3" t="str">
        <f>CONTROLE_DIARIO!K67</f>
        <v>OK</v>
      </c>
      <c r="L66" s="51" t="str">
        <f>CONTROLE_DIARIO!L67</f>
        <v>Sem foto fachada</v>
      </c>
      <c r="M66" s="51">
        <f>CONTROLE_DIARIO!M67</f>
        <v>0</v>
      </c>
      <c r="N66" s="3" t="str">
        <f>CONTROLE_DIARIO!N67</f>
        <v>Qualidade</v>
      </c>
      <c r="O66" s="3" t="str">
        <f>CONTROLE_DIARIO!O67</f>
        <v>Cleonice</v>
      </c>
      <c r="P66" s="51" t="str">
        <f>CONTROLE_DIARIO!P67</f>
        <v>yyyy0511-Loja Valparaiso-3971</v>
      </c>
      <c r="Q66" s="6">
        <f t="shared" si="5"/>
        <v>1</v>
      </c>
      <c r="R66" s="54" t="str">
        <f t="shared" si="6"/>
        <v>OK</v>
      </c>
      <c r="S66" s="3" t="str">
        <f t="shared" si="7"/>
        <v>mai/yy</v>
      </c>
      <c r="T66" s="3">
        <f t="shared" si="8"/>
        <v>20</v>
      </c>
      <c r="U66" s="3">
        <f t="shared" si="9"/>
        <v>2026</v>
      </c>
      <c r="V66" s="6">
        <f t="shared" si="10"/>
        <v>1</v>
      </c>
      <c r="W66" s="3" t="str">
        <f t="shared" si="11"/>
        <v>OK</v>
      </c>
    </row>
    <row r="67" spans="1:23" x14ac:dyDescent="0.25">
      <c r="A67" s="2">
        <f>CONTROLE_DIARIO!A68</f>
        <v>46153</v>
      </c>
      <c r="B67" s="51" t="str">
        <f>CONTROLE_DIARIO!B68</f>
        <v>Loja Valparaiso</v>
      </c>
      <c r="C67" s="3">
        <f>CONTROLE_DIARIO!C68</f>
        <v>3972</v>
      </c>
      <c r="D67" s="3" t="str">
        <f>CONTROLE_DIARIO!D68</f>
        <v>Wederson C.</v>
      </c>
      <c r="E67" s="3" t="str">
        <f>CONTROLE_DIARIO!E68</f>
        <v>Entrega Total</v>
      </c>
      <c r="F67" s="3" t="str">
        <f>CONTROLE_DIARIO!F68</f>
        <v>SIM</v>
      </c>
      <c r="G67" s="3" t="str">
        <f>CONTROLE_DIARIO!G68</f>
        <v>SIM</v>
      </c>
      <c r="H67" s="3" t="str">
        <f>CONTROLE_DIARIO!H68</f>
        <v>SIM</v>
      </c>
      <c r="I67" s="3" t="str">
        <f>CONTROLE_DIARIO!I68</f>
        <v>SIM</v>
      </c>
      <c r="J67" s="3" t="str">
        <f>CONTROLE_DIARIO!J68</f>
        <v>SIM</v>
      </c>
      <c r="K67" s="3" t="str">
        <f>CONTROLE_DIARIO!K68</f>
        <v>OK</v>
      </c>
      <c r="L67" s="51" t="str">
        <f>CONTROLE_DIARIO!L68</f>
        <v>Sem foto fachada</v>
      </c>
      <c r="M67" s="51">
        <f>CONTROLE_DIARIO!M68</f>
        <v>0</v>
      </c>
      <c r="N67" s="3" t="str">
        <f>CONTROLE_DIARIO!N68</f>
        <v>Qualidade</v>
      </c>
      <c r="O67" s="3" t="str">
        <f>CONTROLE_DIARIO!O68</f>
        <v>Cleonice</v>
      </c>
      <c r="P67" s="51" t="str">
        <f>CONTROLE_DIARIO!P68</f>
        <v>yyyy0511-Loja Valparaiso-3972</v>
      </c>
      <c r="Q67" s="6">
        <f t="shared" si="5"/>
        <v>1</v>
      </c>
      <c r="R67" s="54" t="str">
        <f t="shared" si="6"/>
        <v>OK</v>
      </c>
      <c r="S67" s="3" t="str">
        <f t="shared" si="7"/>
        <v>mai/yy</v>
      </c>
      <c r="T67" s="3">
        <f t="shared" si="8"/>
        <v>20</v>
      </c>
      <c r="U67" s="3">
        <f t="shared" si="9"/>
        <v>2026</v>
      </c>
      <c r="V67" s="6">
        <f t="shared" si="10"/>
        <v>1</v>
      </c>
      <c r="W67" s="3" t="str">
        <f t="shared" si="11"/>
        <v>OK</v>
      </c>
    </row>
    <row r="68" spans="1:23" x14ac:dyDescent="0.25">
      <c r="A68" s="2">
        <f>CONTROLE_DIARIO!A69</f>
        <v>46153</v>
      </c>
      <c r="B68" s="51" t="str">
        <f>CONTROLE_DIARIO!B69</f>
        <v>Loja Valparaiso</v>
      </c>
      <c r="C68" s="3">
        <f>CONTROLE_DIARIO!C69</f>
        <v>3973</v>
      </c>
      <c r="D68" s="3" t="str">
        <f>CONTROLE_DIARIO!D69</f>
        <v>Wederson C.</v>
      </c>
      <c r="E68" s="3" t="str">
        <f>CONTROLE_DIARIO!E69</f>
        <v>Cancelado</v>
      </c>
      <c r="F68" s="3">
        <f>CONTROLE_DIARIO!F69</f>
        <v>0</v>
      </c>
      <c r="G68" s="3">
        <f>CONTROLE_DIARIO!G69</f>
        <v>0</v>
      </c>
      <c r="H68" s="3">
        <f>CONTROLE_DIARIO!H69</f>
        <v>0</v>
      </c>
      <c r="I68" s="3">
        <f>CONTROLE_DIARIO!I69</f>
        <v>0</v>
      </c>
      <c r="J68" s="3" t="str">
        <f>CONTROLE_DIARIO!J69</f>
        <v xml:space="preserve"> </v>
      </c>
      <c r="K68" s="3" t="str">
        <f>CONTROLE_DIARIO!K69</f>
        <v>NOK</v>
      </c>
      <c r="L68" s="51" t="str">
        <f>CONTROLE_DIARIO!L69</f>
        <v>Manifesto cancelado</v>
      </c>
      <c r="M68" s="51">
        <f>CONTROLE_DIARIO!M69</f>
        <v>0</v>
      </c>
      <c r="N68" s="3" t="str">
        <f>CONTROLE_DIARIO!N69</f>
        <v>Qualidade</v>
      </c>
      <c r="O68" s="3" t="str">
        <f>CONTROLE_DIARIO!O69</f>
        <v>Cleonice</v>
      </c>
      <c r="P68" s="51" t="str">
        <f>CONTROLE_DIARIO!P69</f>
        <v>yyyy0511-Loja Valparaiso-3973</v>
      </c>
      <c r="Q68" s="6">
        <f t="shared" si="5"/>
        <v>0</v>
      </c>
      <c r="R68" s="54" t="str">
        <f t="shared" si="6"/>
        <v>Manifesto Cancelado</v>
      </c>
      <c r="S68" s="3" t="str">
        <f t="shared" si="7"/>
        <v>mai/yy</v>
      </c>
      <c r="T68" s="3">
        <f t="shared" si="8"/>
        <v>20</v>
      </c>
      <c r="U68" s="3">
        <f t="shared" si="9"/>
        <v>2026</v>
      </c>
      <c r="V68" s="6">
        <f t="shared" si="10"/>
        <v>0</v>
      </c>
      <c r="W68" s="3" t="str">
        <f t="shared" si="11"/>
        <v>CRÍTICO</v>
      </c>
    </row>
    <row r="69" spans="1:23" x14ac:dyDescent="0.25">
      <c r="A69" s="2">
        <f>CONTROLE_DIARIO!A70</f>
        <v>46153</v>
      </c>
      <c r="B69" s="51" t="str">
        <f>CONTROLE_DIARIO!B70</f>
        <v>Loja ADE</v>
      </c>
      <c r="C69" s="3">
        <f>CONTROLE_DIARIO!C70</f>
        <v>3974</v>
      </c>
      <c r="D69" s="3" t="str">
        <f>CONTROLE_DIARIO!D70</f>
        <v>João Lucas</v>
      </c>
      <c r="E69" s="3" t="str">
        <f>CONTROLE_DIARIO!E70</f>
        <v>Entrega Total</v>
      </c>
      <c r="F69" s="3" t="str">
        <f>CONTROLE_DIARIO!F70</f>
        <v>NÃO</v>
      </c>
      <c r="G69" s="3" t="str">
        <f>CONTROLE_DIARIO!G70</f>
        <v>NÃO</v>
      </c>
      <c r="H69" s="3" t="str">
        <f>CONTROLE_DIARIO!H70</f>
        <v>NÃO</v>
      </c>
      <c r="I69" s="3" t="str">
        <f>CONTROLE_DIARIO!I70</f>
        <v>SIM</v>
      </c>
      <c r="J69" s="3" t="str">
        <f>CONTROLE_DIARIO!J70</f>
        <v>NÃO</v>
      </c>
      <c r="K69" s="3" t="str">
        <f>CONTROLE_DIARIO!K70</f>
        <v>NOK</v>
      </c>
      <c r="L69" s="51" t="str">
        <f>CONTROLE_DIARIO!L70</f>
        <v>Outro</v>
      </c>
      <c r="M69" s="51" t="str">
        <f>CONTROLE_DIARIO!M70</f>
        <v>Manifesto não entregue pelo app</v>
      </c>
      <c r="N69" s="3" t="str">
        <f>CONTROLE_DIARIO!N70</f>
        <v>Qualidade</v>
      </c>
      <c r="O69" s="3" t="str">
        <f>CONTROLE_DIARIO!O70</f>
        <v>Danilo</v>
      </c>
      <c r="P69" s="51" t="str">
        <f>CONTROLE_DIARIO!P70</f>
        <v>yyyy0511-Loja ADE-3974</v>
      </c>
      <c r="Q69" s="6">
        <f t="shared" si="5"/>
        <v>0.3</v>
      </c>
      <c r="R69" s="54" t="str">
        <f t="shared" si="6"/>
        <v>FORA APP</v>
      </c>
      <c r="S69" s="3" t="str">
        <f t="shared" si="7"/>
        <v>mai/yy</v>
      </c>
      <c r="T69" s="3">
        <f t="shared" si="8"/>
        <v>20</v>
      </c>
      <c r="U69" s="3">
        <f t="shared" si="9"/>
        <v>2026</v>
      </c>
      <c r="V69" s="6">
        <f t="shared" si="10"/>
        <v>0.3</v>
      </c>
      <c r="W69" s="3" t="str">
        <f t="shared" si="11"/>
        <v>CRÍTICO</v>
      </c>
    </row>
    <row r="70" spans="1:23" x14ac:dyDescent="0.25">
      <c r="A70" s="2">
        <f>CONTROLE_DIARIO!A71</f>
        <v>46150</v>
      </c>
      <c r="B70" s="51" t="str">
        <f>CONTROLE_DIARIO!B71</f>
        <v>Loja Asa Norte</v>
      </c>
      <c r="C70" s="3">
        <f>CONTROLE_DIARIO!C71</f>
        <v>3976</v>
      </c>
      <c r="D70" s="3" t="str">
        <f>CONTROLE_DIARIO!D71</f>
        <v>J. Alessandro</v>
      </c>
      <c r="E70" s="3" t="str">
        <f>CONTROLE_DIARIO!E71</f>
        <v>Entrega Total</v>
      </c>
      <c r="F70" s="3" t="str">
        <f>CONTROLE_DIARIO!F71</f>
        <v>NÃO</v>
      </c>
      <c r="G70" s="3" t="str">
        <f>CONTROLE_DIARIO!G71</f>
        <v>NÃO</v>
      </c>
      <c r="H70" s="3" t="str">
        <f>CONTROLE_DIARIO!H71</f>
        <v>NÃO</v>
      </c>
      <c r="I70" s="3" t="str">
        <f>CONTROLE_DIARIO!I71</f>
        <v>SIM</v>
      </c>
      <c r="J70" s="3" t="str">
        <f>CONTROLE_DIARIO!J71</f>
        <v>NÃO</v>
      </c>
      <c r="K70" s="3" t="str">
        <f>CONTROLE_DIARIO!K71</f>
        <v>NOK</v>
      </c>
      <c r="L70" s="51" t="str">
        <f>CONTROLE_DIARIO!L71</f>
        <v>Outro</v>
      </c>
      <c r="M70" s="51" t="str">
        <f>CONTROLE_DIARIO!M71</f>
        <v>Manifesto não entregue pelo app</v>
      </c>
      <c r="N70" s="3" t="str">
        <f>CONTROLE_DIARIO!N71</f>
        <v>Qualidade</v>
      </c>
      <c r="O70" s="3" t="str">
        <f>CONTROLE_DIARIO!O71</f>
        <v>Neudo</v>
      </c>
      <c r="P70" s="51" t="str">
        <f>CONTROLE_DIARIO!P71</f>
        <v>yyyy0508-Loja Asa Norte-3976</v>
      </c>
      <c r="Q70" s="6">
        <f t="shared" ref="Q70:Q133" si="12">IF(C70="","",(IF(F70="SIM",0.3,0)+IF(J70="SIM",0.4,0)+IF(I70="SIM",0.3,0)))</f>
        <v>0.3</v>
      </c>
      <c r="R70" s="54" t="str">
        <f t="shared" ref="R70:R133" si="13">IF(C70="","",IF(E70="Retorno Total","Retorno Total",IF(E70="Cancelado","Manifesto Cancelado",IF(AND(F70="NÃO",G70="NÃO",H70="NÃO"),"FORA APP",IF(F70="NÃO","Não conferido",IF(I70="NÃO","Não baixado",IF(AND(G70="NÃO",H70="NÃO"),"Sem foto e assinatura",IF(G70="NÃO","Sem foto",IF(H70="NÃO","Sem assinatura","OK")))))))))</f>
        <v>FORA APP</v>
      </c>
      <c r="S70" s="3" t="str">
        <f t="shared" ref="S70:S133" si="14">IF(A70="","",TEXT(A70,"mmm/yy"))</f>
        <v>mai/yy</v>
      </c>
      <c r="T70" s="3">
        <f t="shared" ref="T70:T133" si="15">IF(A70="","",WEEKNUM(A70,2))</f>
        <v>19</v>
      </c>
      <c r="U70" s="3">
        <f t="shared" ref="U70:U133" si="16">IF(A70="","",YEAR(A70))</f>
        <v>2026</v>
      </c>
      <c r="V70" s="6">
        <f t="shared" ref="V70:V133" si="17">IF(C70="","",Q70)</f>
        <v>0.3</v>
      </c>
      <c r="W70" s="3" t="str">
        <f t="shared" ref="W70:W133" si="18">IF(C70="","",IF(Q70&lt;0.85,"CRÍTICO",IF(Q70&lt;0.95,"ATENÇÃO","OK")))</f>
        <v>CRÍTICO</v>
      </c>
    </row>
    <row r="71" spans="1:23" x14ac:dyDescent="0.25">
      <c r="A71" s="2">
        <f>CONTROLE_DIARIO!A72</f>
        <v>46150</v>
      </c>
      <c r="B71" s="51" t="str">
        <f>CONTROLE_DIARIO!B72</f>
        <v>Loja Asa Norte</v>
      </c>
      <c r="C71" s="3">
        <f>CONTROLE_DIARIO!C72</f>
        <v>3977</v>
      </c>
      <c r="D71" s="3" t="str">
        <f>CONTROLE_DIARIO!D72</f>
        <v>J. Alessandro</v>
      </c>
      <c r="E71" s="3" t="str">
        <f>CONTROLE_DIARIO!E72</f>
        <v>Entrega Total</v>
      </c>
      <c r="F71" s="3" t="str">
        <f>CONTROLE_DIARIO!F72</f>
        <v>NÃO</v>
      </c>
      <c r="G71" s="3" t="str">
        <f>CONTROLE_DIARIO!G72</f>
        <v>NÃO</v>
      </c>
      <c r="H71" s="3" t="str">
        <f>CONTROLE_DIARIO!H72</f>
        <v>NÃO</v>
      </c>
      <c r="I71" s="3" t="str">
        <f>CONTROLE_DIARIO!I72</f>
        <v>SIM</v>
      </c>
      <c r="J71" s="3" t="str">
        <f>CONTROLE_DIARIO!J72</f>
        <v>NÃO</v>
      </c>
      <c r="K71" s="3" t="str">
        <f>CONTROLE_DIARIO!K72</f>
        <v>NOK</v>
      </c>
      <c r="L71" s="51" t="str">
        <f>CONTROLE_DIARIO!L72</f>
        <v>Outro</v>
      </c>
      <c r="M71" s="51" t="str">
        <f>CONTROLE_DIARIO!M72</f>
        <v>Manifesto não entregue pelo app</v>
      </c>
      <c r="N71" s="3" t="str">
        <f>CONTROLE_DIARIO!N72</f>
        <v>Qualidade</v>
      </c>
      <c r="O71" s="3" t="str">
        <f>CONTROLE_DIARIO!O72</f>
        <v>Neudo</v>
      </c>
      <c r="P71" s="51" t="str">
        <f>CONTROLE_DIARIO!P72</f>
        <v>yyyy0508-Loja Asa Norte-3977</v>
      </c>
      <c r="Q71" s="6">
        <f t="shared" si="12"/>
        <v>0.3</v>
      </c>
      <c r="R71" s="54" t="str">
        <f t="shared" si="13"/>
        <v>FORA APP</v>
      </c>
      <c r="S71" s="3" t="str">
        <f t="shared" si="14"/>
        <v>mai/yy</v>
      </c>
      <c r="T71" s="3">
        <f t="shared" si="15"/>
        <v>19</v>
      </c>
      <c r="U71" s="3">
        <f t="shared" si="16"/>
        <v>2026</v>
      </c>
      <c r="V71" s="6">
        <f t="shared" si="17"/>
        <v>0.3</v>
      </c>
      <c r="W71" s="3" t="str">
        <f t="shared" si="18"/>
        <v>CRÍTICO</v>
      </c>
    </row>
    <row r="72" spans="1:23" x14ac:dyDescent="0.25">
      <c r="A72" s="2">
        <f>CONTROLE_DIARIO!A73</f>
        <v>46150</v>
      </c>
      <c r="B72" s="51" t="str">
        <f>CONTROLE_DIARIO!B73</f>
        <v>Loja ADE</v>
      </c>
      <c r="C72" s="3">
        <f>CONTROLE_DIARIO!C73</f>
        <v>3978</v>
      </c>
      <c r="D72" s="3" t="str">
        <f>CONTROLE_DIARIO!D73</f>
        <v>João Lucas</v>
      </c>
      <c r="E72" s="3" t="str">
        <f>CONTROLE_DIARIO!E73</f>
        <v>Entrega Total</v>
      </c>
      <c r="F72" s="3" t="str">
        <f>CONTROLE_DIARIO!F73</f>
        <v>SIM</v>
      </c>
      <c r="G72" s="3" t="str">
        <f>CONTROLE_DIARIO!G73</f>
        <v>SIM</v>
      </c>
      <c r="H72" s="3" t="str">
        <f>CONTROLE_DIARIO!H73</f>
        <v>SIM</v>
      </c>
      <c r="I72" s="3" t="str">
        <f>CONTROLE_DIARIO!I73</f>
        <v>SIM</v>
      </c>
      <c r="J72" s="3" t="str">
        <f>CONTROLE_DIARIO!J73</f>
        <v>SIM</v>
      </c>
      <c r="K72" s="3" t="str">
        <f>CONTROLE_DIARIO!K73</f>
        <v>OK</v>
      </c>
      <c r="L72" s="51" t="str">
        <f>CONTROLE_DIARIO!L73</f>
        <v>OK</v>
      </c>
      <c r="M72" s="51">
        <f>CONTROLE_DIARIO!M73</f>
        <v>0</v>
      </c>
      <c r="N72" s="3" t="str">
        <f>CONTROLE_DIARIO!N73</f>
        <v>Qualidade</v>
      </c>
      <c r="O72" s="3" t="str">
        <f>CONTROLE_DIARIO!O73</f>
        <v>Danilo</v>
      </c>
      <c r="P72" s="51" t="str">
        <f>CONTROLE_DIARIO!P73</f>
        <v>yyyy0508-Loja ADE-3978</v>
      </c>
      <c r="Q72" s="6">
        <f t="shared" si="12"/>
        <v>1</v>
      </c>
      <c r="R72" s="54" t="str">
        <f t="shared" si="13"/>
        <v>OK</v>
      </c>
      <c r="S72" s="3" t="str">
        <f t="shared" si="14"/>
        <v>mai/yy</v>
      </c>
      <c r="T72" s="3">
        <f t="shared" si="15"/>
        <v>19</v>
      </c>
      <c r="U72" s="3">
        <f t="shared" si="16"/>
        <v>2026</v>
      </c>
      <c r="V72" s="6">
        <f t="shared" si="17"/>
        <v>1</v>
      </c>
      <c r="W72" s="3" t="str">
        <f t="shared" si="18"/>
        <v>OK</v>
      </c>
    </row>
    <row r="73" spans="1:23" x14ac:dyDescent="0.25">
      <c r="A73" s="2">
        <f>CONTROLE_DIARIO!A74</f>
        <v>46150</v>
      </c>
      <c r="B73" s="51" t="str">
        <f>CONTROLE_DIARIO!B74</f>
        <v>Loja Pistão</v>
      </c>
      <c r="C73" s="3">
        <f>CONTROLE_DIARIO!C74</f>
        <v>3979</v>
      </c>
      <c r="D73" s="3" t="str">
        <f>CONTROLE_DIARIO!D74</f>
        <v>João Lucas</v>
      </c>
      <c r="E73" s="3" t="str">
        <f>CONTROLE_DIARIO!E74</f>
        <v>Entrega Total</v>
      </c>
      <c r="F73" s="3" t="str">
        <f>CONTROLE_DIARIO!F74</f>
        <v>SIM</v>
      </c>
      <c r="G73" s="3" t="str">
        <f>CONTROLE_DIARIO!G74</f>
        <v>SIM</v>
      </c>
      <c r="H73" s="3" t="str">
        <f>CONTROLE_DIARIO!H74</f>
        <v>SIM</v>
      </c>
      <c r="I73" s="3" t="str">
        <f>CONTROLE_DIARIO!I74</f>
        <v>SIM</v>
      </c>
      <c r="J73" s="3" t="str">
        <f>CONTROLE_DIARIO!J74</f>
        <v>SIM</v>
      </c>
      <c r="K73" s="3" t="str">
        <f>CONTROLE_DIARIO!K74</f>
        <v>OK</v>
      </c>
      <c r="L73" s="51" t="str">
        <f>CONTROLE_DIARIO!L74</f>
        <v>Sem foto fachada</v>
      </c>
      <c r="M73" s="51">
        <f>CONTROLE_DIARIO!M74</f>
        <v>0</v>
      </c>
      <c r="N73" s="3" t="str">
        <f>CONTROLE_DIARIO!N74</f>
        <v>Qualidade</v>
      </c>
      <c r="O73" s="3" t="str">
        <f>CONTROLE_DIARIO!O74</f>
        <v>Cinthya</v>
      </c>
      <c r="P73" s="51" t="str">
        <f>CONTROLE_DIARIO!P74</f>
        <v>yyyy0508-Loja Pistão-3979</v>
      </c>
      <c r="Q73" s="6">
        <f t="shared" si="12"/>
        <v>1</v>
      </c>
      <c r="R73" s="54" t="str">
        <f t="shared" si="13"/>
        <v>OK</v>
      </c>
      <c r="S73" s="3" t="str">
        <f t="shared" si="14"/>
        <v>mai/yy</v>
      </c>
      <c r="T73" s="3">
        <f t="shared" si="15"/>
        <v>19</v>
      </c>
      <c r="U73" s="3">
        <f t="shared" si="16"/>
        <v>2026</v>
      </c>
      <c r="V73" s="6">
        <f t="shared" si="17"/>
        <v>1</v>
      </c>
      <c r="W73" s="3" t="str">
        <f t="shared" si="18"/>
        <v>OK</v>
      </c>
    </row>
    <row r="74" spans="1:23" x14ac:dyDescent="0.25">
      <c r="A74" s="2">
        <f>CONTROLE_DIARIO!A75</f>
        <v>46150</v>
      </c>
      <c r="B74" s="51" t="str">
        <f>CONTROLE_DIARIO!B75</f>
        <v>Loja Pistão</v>
      </c>
      <c r="C74" s="3">
        <f>CONTROLE_DIARIO!C75</f>
        <v>3980</v>
      </c>
      <c r="D74" s="3" t="str">
        <f>CONTROLE_DIARIO!D75</f>
        <v>João Lucas</v>
      </c>
      <c r="E74" s="3" t="str">
        <f>CONTROLE_DIARIO!E75</f>
        <v>Entrega Total</v>
      </c>
      <c r="F74" s="3" t="str">
        <f>CONTROLE_DIARIO!F75</f>
        <v>SIM</v>
      </c>
      <c r="G74" s="3" t="str">
        <f>CONTROLE_DIARIO!G75</f>
        <v>SIM</v>
      </c>
      <c r="H74" s="3" t="str">
        <f>CONTROLE_DIARIO!H75</f>
        <v>SIM</v>
      </c>
      <c r="I74" s="3" t="str">
        <f>CONTROLE_DIARIO!I75</f>
        <v>SIM</v>
      </c>
      <c r="J74" s="3" t="str">
        <f>CONTROLE_DIARIO!J75</f>
        <v>SIM</v>
      </c>
      <c r="K74" s="3" t="str">
        <f>CONTROLE_DIARIO!K75</f>
        <v>OK</v>
      </c>
      <c r="L74" s="51" t="str">
        <f>CONTROLE_DIARIO!L75</f>
        <v>Sem foto fachada</v>
      </c>
      <c r="M74" s="51">
        <f>CONTROLE_DIARIO!M75</f>
        <v>0</v>
      </c>
      <c r="N74" s="3" t="str">
        <f>CONTROLE_DIARIO!N75</f>
        <v>Qualidade</v>
      </c>
      <c r="O74" s="3" t="str">
        <f>CONTROLE_DIARIO!O75</f>
        <v>Cinthya</v>
      </c>
      <c r="P74" s="51" t="str">
        <f>CONTROLE_DIARIO!P75</f>
        <v>yyyy0508-Loja Pistão-3980</v>
      </c>
      <c r="Q74" s="6">
        <f t="shared" si="12"/>
        <v>1</v>
      </c>
      <c r="R74" s="54" t="str">
        <f t="shared" si="13"/>
        <v>OK</v>
      </c>
      <c r="S74" s="3" t="str">
        <f t="shared" si="14"/>
        <v>mai/yy</v>
      </c>
      <c r="T74" s="3">
        <f t="shared" si="15"/>
        <v>19</v>
      </c>
      <c r="U74" s="3">
        <f t="shared" si="16"/>
        <v>2026</v>
      </c>
      <c r="V74" s="6">
        <f t="shared" si="17"/>
        <v>1</v>
      </c>
      <c r="W74" s="3" t="str">
        <f t="shared" si="18"/>
        <v>OK</v>
      </c>
    </row>
    <row r="75" spans="1:23" x14ac:dyDescent="0.25">
      <c r="A75" s="2">
        <f>CONTROLE_DIARIO!A76</f>
        <v>46150</v>
      </c>
      <c r="B75" s="51" t="str">
        <f>CONTROLE_DIARIO!B76</f>
        <v>Loja Asa Norte</v>
      </c>
      <c r="C75" s="3">
        <f>CONTROLE_DIARIO!C76</f>
        <v>3981</v>
      </c>
      <c r="D75" s="3" t="str">
        <f>CONTROLE_DIARIO!D76</f>
        <v>J. Alessandro</v>
      </c>
      <c r="E75" s="3" t="str">
        <f>CONTROLE_DIARIO!E76</f>
        <v>Entrega Total</v>
      </c>
      <c r="F75" s="3" t="str">
        <f>CONTROLE_DIARIO!F76</f>
        <v>NÃO</v>
      </c>
      <c r="G75" s="3" t="str">
        <f>CONTROLE_DIARIO!G76</f>
        <v>NÃO</v>
      </c>
      <c r="H75" s="3" t="str">
        <f>CONTROLE_DIARIO!H76</f>
        <v>NÃO</v>
      </c>
      <c r="I75" s="3" t="str">
        <f>CONTROLE_DIARIO!I76</f>
        <v>SIM</v>
      </c>
      <c r="J75" s="3" t="str">
        <f>CONTROLE_DIARIO!J76</f>
        <v>NÃO</v>
      </c>
      <c r="K75" s="3" t="str">
        <f>CONTROLE_DIARIO!K76</f>
        <v>NOK</v>
      </c>
      <c r="L75" s="51" t="str">
        <f>CONTROLE_DIARIO!L76</f>
        <v>Outro</v>
      </c>
      <c r="M75" s="51" t="str">
        <f>CONTROLE_DIARIO!M76</f>
        <v>Manifesto não entregue pelo app</v>
      </c>
      <c r="N75" s="3" t="str">
        <f>CONTROLE_DIARIO!N76</f>
        <v>Qualidade</v>
      </c>
      <c r="O75" s="3" t="str">
        <f>CONTROLE_DIARIO!O76</f>
        <v>Neudo</v>
      </c>
      <c r="P75" s="51" t="str">
        <f>CONTROLE_DIARIO!P76</f>
        <v>yyyy0508-Loja Asa Norte-3981</v>
      </c>
      <c r="Q75" s="6">
        <f t="shared" si="12"/>
        <v>0.3</v>
      </c>
      <c r="R75" s="54" t="str">
        <f t="shared" si="13"/>
        <v>FORA APP</v>
      </c>
      <c r="S75" s="3" t="str">
        <f t="shared" si="14"/>
        <v>mai/yy</v>
      </c>
      <c r="T75" s="3">
        <f t="shared" si="15"/>
        <v>19</v>
      </c>
      <c r="U75" s="3">
        <f t="shared" si="16"/>
        <v>2026</v>
      </c>
      <c r="V75" s="6">
        <f t="shared" si="17"/>
        <v>0.3</v>
      </c>
      <c r="W75" s="3" t="str">
        <f t="shared" si="18"/>
        <v>CRÍTICO</v>
      </c>
    </row>
    <row r="76" spans="1:23" x14ac:dyDescent="0.25">
      <c r="A76" s="2">
        <f>CONTROLE_DIARIO!A77</f>
        <v>46150</v>
      </c>
      <c r="B76" s="51" t="str">
        <f>CONTROLE_DIARIO!B77</f>
        <v>Loja Asa Norte</v>
      </c>
      <c r="C76" s="3">
        <f>CONTROLE_DIARIO!C77</f>
        <v>3982</v>
      </c>
      <c r="D76" s="3" t="str">
        <f>CONTROLE_DIARIO!D77</f>
        <v>J. Alessandro</v>
      </c>
      <c r="E76" s="3" t="str">
        <f>CONTROLE_DIARIO!E77</f>
        <v>Entrega Total</v>
      </c>
      <c r="F76" s="3" t="str">
        <f>CONTROLE_DIARIO!F77</f>
        <v>NÃO</v>
      </c>
      <c r="G76" s="3" t="str">
        <f>CONTROLE_DIARIO!G77</f>
        <v>NÃO</v>
      </c>
      <c r="H76" s="3" t="str">
        <f>CONTROLE_DIARIO!H77</f>
        <v>NÃO</v>
      </c>
      <c r="I76" s="3" t="str">
        <f>CONTROLE_DIARIO!I77</f>
        <v>SIM</v>
      </c>
      <c r="J76" s="3" t="str">
        <f>CONTROLE_DIARIO!J77</f>
        <v>NÃO</v>
      </c>
      <c r="K76" s="3" t="str">
        <f>CONTROLE_DIARIO!K77</f>
        <v>NOK</v>
      </c>
      <c r="L76" s="51" t="str">
        <f>CONTROLE_DIARIO!L77</f>
        <v>Outro</v>
      </c>
      <c r="M76" s="51" t="str">
        <f>CONTROLE_DIARIO!M77</f>
        <v>Manifesto não entregue pelo app</v>
      </c>
      <c r="N76" s="3" t="str">
        <f>CONTROLE_DIARIO!N77</f>
        <v>Qualidade</v>
      </c>
      <c r="O76" s="3" t="str">
        <f>CONTROLE_DIARIO!O77</f>
        <v>Neudo</v>
      </c>
      <c r="P76" s="51" t="str">
        <f>CONTROLE_DIARIO!P77</f>
        <v>yyyy0508-Loja Asa Norte-3982</v>
      </c>
      <c r="Q76" s="6">
        <f t="shared" si="12"/>
        <v>0.3</v>
      </c>
      <c r="R76" s="54" t="str">
        <f t="shared" si="13"/>
        <v>FORA APP</v>
      </c>
      <c r="S76" s="3" t="str">
        <f t="shared" si="14"/>
        <v>mai/yy</v>
      </c>
      <c r="T76" s="3">
        <f t="shared" si="15"/>
        <v>19</v>
      </c>
      <c r="U76" s="3">
        <f t="shared" si="16"/>
        <v>2026</v>
      </c>
      <c r="V76" s="6">
        <f t="shared" si="17"/>
        <v>0.3</v>
      </c>
      <c r="W76" s="3" t="str">
        <f t="shared" si="18"/>
        <v>CRÍTICO</v>
      </c>
    </row>
    <row r="77" spans="1:23" x14ac:dyDescent="0.25">
      <c r="A77" s="2">
        <f>CONTROLE_DIARIO!A78</f>
        <v>46150</v>
      </c>
      <c r="B77" s="51" t="str">
        <f>CONTROLE_DIARIO!B78</f>
        <v>Loja Asa Norte</v>
      </c>
      <c r="C77" s="3">
        <f>CONTROLE_DIARIO!C78</f>
        <v>3983</v>
      </c>
      <c r="D77" s="3" t="str">
        <f>CONTROLE_DIARIO!D78</f>
        <v>J. Alessandro</v>
      </c>
      <c r="E77" s="3" t="str">
        <f>CONTROLE_DIARIO!E78</f>
        <v>Entrega Total</v>
      </c>
      <c r="F77" s="3" t="str">
        <f>CONTROLE_DIARIO!F78</f>
        <v>NÃO</v>
      </c>
      <c r="G77" s="3" t="str">
        <f>CONTROLE_DIARIO!G78</f>
        <v>NÃO</v>
      </c>
      <c r="H77" s="3" t="str">
        <f>CONTROLE_DIARIO!H78</f>
        <v>NÃO</v>
      </c>
      <c r="I77" s="3" t="str">
        <f>CONTROLE_DIARIO!I78</f>
        <v>SIM</v>
      </c>
      <c r="J77" s="3" t="str">
        <f>CONTROLE_DIARIO!J78</f>
        <v>NÃO</v>
      </c>
      <c r="K77" s="3" t="str">
        <f>CONTROLE_DIARIO!K78</f>
        <v>NOK</v>
      </c>
      <c r="L77" s="51" t="str">
        <f>CONTROLE_DIARIO!L78</f>
        <v>Outro</v>
      </c>
      <c r="M77" s="51" t="str">
        <f>CONTROLE_DIARIO!M78</f>
        <v>Manifesto não entregue pelo app</v>
      </c>
      <c r="N77" s="3" t="str">
        <f>CONTROLE_DIARIO!N78</f>
        <v>Qualidade</v>
      </c>
      <c r="O77" s="3" t="str">
        <f>CONTROLE_DIARIO!O78</f>
        <v>Neudo</v>
      </c>
      <c r="P77" s="51" t="str">
        <f>CONTROLE_DIARIO!P78</f>
        <v>yyyy0508-Loja Asa Norte-3983</v>
      </c>
      <c r="Q77" s="6">
        <f t="shared" si="12"/>
        <v>0.3</v>
      </c>
      <c r="R77" s="54" t="str">
        <f t="shared" si="13"/>
        <v>FORA APP</v>
      </c>
      <c r="S77" s="3" t="str">
        <f t="shared" si="14"/>
        <v>mai/yy</v>
      </c>
      <c r="T77" s="3">
        <f t="shared" si="15"/>
        <v>19</v>
      </c>
      <c r="U77" s="3">
        <f t="shared" si="16"/>
        <v>2026</v>
      </c>
      <c r="V77" s="6">
        <f t="shared" si="17"/>
        <v>0.3</v>
      </c>
      <c r="W77" s="3" t="str">
        <f t="shared" si="18"/>
        <v>CRÍTICO</v>
      </c>
    </row>
    <row r="78" spans="1:23" x14ac:dyDescent="0.25">
      <c r="A78" s="2">
        <f>CONTROLE_DIARIO!A79</f>
        <v>46150</v>
      </c>
      <c r="B78" s="51" t="str">
        <f>CONTROLE_DIARIO!B79</f>
        <v>Loja Asa Norte</v>
      </c>
      <c r="C78" s="3">
        <f>CONTROLE_DIARIO!C79</f>
        <v>3984</v>
      </c>
      <c r="D78" s="3" t="str">
        <f>CONTROLE_DIARIO!D79</f>
        <v>J. Alessandro</v>
      </c>
      <c r="E78" s="3" t="str">
        <f>CONTROLE_DIARIO!E79</f>
        <v>Entrega Total</v>
      </c>
      <c r="F78" s="3" t="str">
        <f>CONTROLE_DIARIO!F79</f>
        <v>NÃO</v>
      </c>
      <c r="G78" s="3" t="str">
        <f>CONTROLE_DIARIO!G79</f>
        <v>NÃO</v>
      </c>
      <c r="H78" s="3" t="str">
        <f>CONTROLE_DIARIO!H79</f>
        <v>NÃO</v>
      </c>
      <c r="I78" s="3" t="str">
        <f>CONTROLE_DIARIO!I79</f>
        <v>SIM</v>
      </c>
      <c r="J78" s="3" t="str">
        <f>CONTROLE_DIARIO!J79</f>
        <v>NÃO</v>
      </c>
      <c r="K78" s="3" t="str">
        <f>CONTROLE_DIARIO!K79</f>
        <v>NOK</v>
      </c>
      <c r="L78" s="51" t="str">
        <f>CONTROLE_DIARIO!L79</f>
        <v>Outro</v>
      </c>
      <c r="M78" s="51" t="str">
        <f>CONTROLE_DIARIO!M79</f>
        <v>Manifesto não entregue pelo app</v>
      </c>
      <c r="N78" s="3" t="str">
        <f>CONTROLE_DIARIO!N79</f>
        <v>Qualidade</v>
      </c>
      <c r="O78" s="3" t="str">
        <f>CONTROLE_DIARIO!O79</f>
        <v>Neudo</v>
      </c>
      <c r="P78" s="51" t="str">
        <f>CONTROLE_DIARIO!P79</f>
        <v>yyyy0508-Loja Asa Norte-3984</v>
      </c>
      <c r="Q78" s="6">
        <f t="shared" si="12"/>
        <v>0.3</v>
      </c>
      <c r="R78" s="54" t="str">
        <f t="shared" si="13"/>
        <v>FORA APP</v>
      </c>
      <c r="S78" s="3" t="str">
        <f t="shared" si="14"/>
        <v>mai/yy</v>
      </c>
      <c r="T78" s="3">
        <f t="shared" si="15"/>
        <v>19</v>
      </c>
      <c r="U78" s="3">
        <f t="shared" si="16"/>
        <v>2026</v>
      </c>
      <c r="V78" s="6">
        <f t="shared" si="17"/>
        <v>0.3</v>
      </c>
      <c r="W78" s="3" t="str">
        <f t="shared" si="18"/>
        <v>CRÍTICO</v>
      </c>
    </row>
    <row r="79" spans="1:23" x14ac:dyDescent="0.25">
      <c r="A79" s="2">
        <f>CONTROLE_DIARIO!A80</f>
        <v>46150</v>
      </c>
      <c r="B79" s="51" t="str">
        <f>CONTROLE_DIARIO!B80</f>
        <v>Loja ADE</v>
      </c>
      <c r="C79" s="3">
        <f>CONTROLE_DIARIO!C80</f>
        <v>3985</v>
      </c>
      <c r="D79" s="3" t="str">
        <f>CONTROLE_DIARIO!D80</f>
        <v>João Lucas</v>
      </c>
      <c r="E79" s="3" t="str">
        <f>CONTROLE_DIARIO!E80</f>
        <v>Entrega Total</v>
      </c>
      <c r="F79" s="3" t="str">
        <f>CONTROLE_DIARIO!F80</f>
        <v>SIM</v>
      </c>
      <c r="G79" s="3" t="str">
        <f>CONTROLE_DIARIO!G80</f>
        <v>SIM</v>
      </c>
      <c r="H79" s="3" t="str">
        <f>CONTROLE_DIARIO!H80</f>
        <v>SIM</v>
      </c>
      <c r="I79" s="3" t="str">
        <f>CONTROLE_DIARIO!I80</f>
        <v>SIM</v>
      </c>
      <c r="J79" s="3" t="str">
        <f>CONTROLE_DIARIO!J80</f>
        <v>SIM</v>
      </c>
      <c r="K79" s="3" t="str">
        <f>CONTROLE_DIARIO!K80</f>
        <v>OK</v>
      </c>
      <c r="L79" s="51" t="str">
        <f>CONTROLE_DIARIO!L80</f>
        <v>Sem foto fachada</v>
      </c>
      <c r="M79" s="51">
        <f>CONTROLE_DIARIO!M80</f>
        <v>0</v>
      </c>
      <c r="N79" s="3" t="str">
        <f>CONTROLE_DIARIO!N80</f>
        <v>Qualidade</v>
      </c>
      <c r="O79" s="3" t="str">
        <f>CONTROLE_DIARIO!O80</f>
        <v>Danilo</v>
      </c>
      <c r="P79" s="51" t="str">
        <f>CONTROLE_DIARIO!P80</f>
        <v>yyyy0508-Loja ADE-3985</v>
      </c>
      <c r="Q79" s="6">
        <f t="shared" si="12"/>
        <v>1</v>
      </c>
      <c r="R79" s="54" t="str">
        <f t="shared" si="13"/>
        <v>OK</v>
      </c>
      <c r="S79" s="3" t="str">
        <f t="shared" si="14"/>
        <v>mai/yy</v>
      </c>
      <c r="T79" s="3">
        <f t="shared" si="15"/>
        <v>19</v>
      </c>
      <c r="U79" s="3">
        <f t="shared" si="16"/>
        <v>2026</v>
      </c>
      <c r="V79" s="6">
        <f t="shared" si="17"/>
        <v>1</v>
      </c>
      <c r="W79" s="3" t="str">
        <f t="shared" si="18"/>
        <v>OK</v>
      </c>
    </row>
    <row r="80" spans="1:23" x14ac:dyDescent="0.25">
      <c r="A80" s="2">
        <f>CONTROLE_DIARIO!A81</f>
        <v>46150</v>
      </c>
      <c r="B80" s="51" t="str">
        <f>CONTROLE_DIARIO!B81</f>
        <v>Loja Asa Norte</v>
      </c>
      <c r="C80" s="3">
        <f>CONTROLE_DIARIO!C81</f>
        <v>3988</v>
      </c>
      <c r="D80" s="3" t="str">
        <f>CONTROLE_DIARIO!D81</f>
        <v>J. Alessandro</v>
      </c>
      <c r="E80" s="3" t="str">
        <f>CONTROLE_DIARIO!E81</f>
        <v>Entrega Total</v>
      </c>
      <c r="F80" s="3" t="str">
        <f>CONTROLE_DIARIO!F81</f>
        <v>NÃO</v>
      </c>
      <c r="G80" s="3" t="str">
        <f>CONTROLE_DIARIO!G81</f>
        <v>NÃO</v>
      </c>
      <c r="H80" s="3" t="str">
        <f>CONTROLE_DIARIO!H81</f>
        <v>NÃO</v>
      </c>
      <c r="I80" s="3" t="str">
        <f>CONTROLE_DIARIO!I81</f>
        <v>SIM</v>
      </c>
      <c r="J80" s="3" t="str">
        <f>CONTROLE_DIARIO!J81</f>
        <v>NÃO</v>
      </c>
      <c r="K80" s="3" t="str">
        <f>CONTROLE_DIARIO!K81</f>
        <v>NOK</v>
      </c>
      <c r="L80" s="51" t="str">
        <f>CONTROLE_DIARIO!L81</f>
        <v>Outro</v>
      </c>
      <c r="M80" s="51" t="str">
        <f>CONTROLE_DIARIO!M81</f>
        <v>Manifesto não entregue pelo app</v>
      </c>
      <c r="N80" s="3" t="str">
        <f>CONTROLE_DIARIO!N81</f>
        <v>Qualidade</v>
      </c>
      <c r="O80" s="3" t="str">
        <f>CONTROLE_DIARIO!O81</f>
        <v>Neudo</v>
      </c>
      <c r="P80" s="51" t="str">
        <f>CONTROLE_DIARIO!P81</f>
        <v>yyyy0508-Loja Asa Norte-3988</v>
      </c>
      <c r="Q80" s="6">
        <f t="shared" si="12"/>
        <v>0.3</v>
      </c>
      <c r="R80" s="54" t="str">
        <f t="shared" si="13"/>
        <v>FORA APP</v>
      </c>
      <c r="S80" s="3" t="str">
        <f t="shared" si="14"/>
        <v>mai/yy</v>
      </c>
      <c r="T80" s="3">
        <f t="shared" si="15"/>
        <v>19</v>
      </c>
      <c r="U80" s="3">
        <f t="shared" si="16"/>
        <v>2026</v>
      </c>
      <c r="V80" s="6">
        <f t="shared" si="17"/>
        <v>0.3</v>
      </c>
      <c r="W80" s="3" t="str">
        <f t="shared" si="18"/>
        <v>CRÍTICO</v>
      </c>
    </row>
    <row r="81" spans="1:23" x14ac:dyDescent="0.25">
      <c r="A81" s="2">
        <f>CONTROLE_DIARIO!A82</f>
        <v>46150</v>
      </c>
      <c r="B81" s="51" t="str">
        <f>CONTROLE_DIARIO!B82</f>
        <v>Loja Pistão</v>
      </c>
      <c r="C81" s="3">
        <f>CONTROLE_DIARIO!C82</f>
        <v>3989</v>
      </c>
      <c r="D81" s="3" t="str">
        <f>CONTROLE_DIARIO!D82</f>
        <v>João Lucas</v>
      </c>
      <c r="E81" s="3" t="str">
        <f>CONTROLE_DIARIO!E82</f>
        <v>Entrega Total</v>
      </c>
      <c r="F81" s="3" t="str">
        <f>CONTROLE_DIARIO!F82</f>
        <v>SIM</v>
      </c>
      <c r="G81" s="3" t="str">
        <f>CONTROLE_DIARIO!G82</f>
        <v>SIM</v>
      </c>
      <c r="H81" s="3" t="str">
        <f>CONTROLE_DIARIO!H82</f>
        <v>SIM</v>
      </c>
      <c r="I81" s="3" t="str">
        <f>CONTROLE_DIARIO!I82</f>
        <v>SIM</v>
      </c>
      <c r="J81" s="3" t="str">
        <f>CONTROLE_DIARIO!J82</f>
        <v>SIM</v>
      </c>
      <c r="K81" s="3" t="str">
        <f>CONTROLE_DIARIO!K82</f>
        <v>OK</v>
      </c>
      <c r="L81" s="51" t="str">
        <f>CONTROLE_DIARIO!L82</f>
        <v>Sem foto fachada</v>
      </c>
      <c r="M81" s="51">
        <f>CONTROLE_DIARIO!M82</f>
        <v>0</v>
      </c>
      <c r="N81" s="3" t="str">
        <f>CONTROLE_DIARIO!N82</f>
        <v>Qualidade</v>
      </c>
      <c r="O81" s="3" t="str">
        <f>CONTROLE_DIARIO!O82</f>
        <v>Cinthya</v>
      </c>
      <c r="P81" s="51" t="str">
        <f>CONTROLE_DIARIO!P82</f>
        <v>yyyy0508-Loja Pistão-3989</v>
      </c>
      <c r="Q81" s="6">
        <f t="shared" si="12"/>
        <v>1</v>
      </c>
      <c r="R81" s="54" t="str">
        <f t="shared" si="13"/>
        <v>OK</v>
      </c>
      <c r="S81" s="3" t="str">
        <f t="shared" si="14"/>
        <v>mai/yy</v>
      </c>
      <c r="T81" s="3">
        <f t="shared" si="15"/>
        <v>19</v>
      </c>
      <c r="U81" s="3">
        <f t="shared" si="16"/>
        <v>2026</v>
      </c>
      <c r="V81" s="6">
        <f t="shared" si="17"/>
        <v>1</v>
      </c>
      <c r="W81" s="3" t="str">
        <f t="shared" si="18"/>
        <v>OK</v>
      </c>
    </row>
    <row r="82" spans="1:23" x14ac:dyDescent="0.25">
      <c r="A82" s="2">
        <f>CONTROLE_DIARIO!A83</f>
        <v>46153</v>
      </c>
      <c r="B82" s="51" t="str">
        <f>CONTROLE_DIARIO!B83</f>
        <v>Loja ADE</v>
      </c>
      <c r="C82" s="3">
        <f>CONTROLE_DIARIO!C83</f>
        <v>3991</v>
      </c>
      <c r="D82" s="3" t="str">
        <f>CONTROLE_DIARIO!D83</f>
        <v>João Lucas</v>
      </c>
      <c r="E82" s="3" t="str">
        <f>CONTROLE_DIARIO!E83</f>
        <v>Entrega Total</v>
      </c>
      <c r="F82" s="3" t="str">
        <f>CONTROLE_DIARIO!F83</f>
        <v>SIM</v>
      </c>
      <c r="G82" s="3" t="str">
        <f>CONTROLE_DIARIO!G83</f>
        <v>SIM</v>
      </c>
      <c r="H82" s="3" t="str">
        <f>CONTROLE_DIARIO!H83</f>
        <v>SIM</v>
      </c>
      <c r="I82" s="3" t="str">
        <f>CONTROLE_DIARIO!I83</f>
        <v>SIM</v>
      </c>
      <c r="J82" s="3" t="str">
        <f>CONTROLE_DIARIO!J83</f>
        <v>SIM</v>
      </c>
      <c r="K82" s="3" t="str">
        <f>CONTROLE_DIARIO!K83</f>
        <v>OK</v>
      </c>
      <c r="L82" s="51" t="str">
        <f>CONTROLE_DIARIO!L83</f>
        <v>OK</v>
      </c>
      <c r="M82" s="51">
        <f>CONTROLE_DIARIO!M83</f>
        <v>0</v>
      </c>
      <c r="N82" s="3" t="str">
        <f>CONTROLE_DIARIO!N83</f>
        <v>Qualidade</v>
      </c>
      <c r="O82" s="3" t="str">
        <f>CONTROLE_DIARIO!O83</f>
        <v>Danilo</v>
      </c>
      <c r="P82" s="51" t="str">
        <f>CONTROLE_DIARIO!P83</f>
        <v>yyyy0511-Loja ADE-3991</v>
      </c>
      <c r="Q82" s="6">
        <f t="shared" si="12"/>
        <v>1</v>
      </c>
      <c r="R82" s="54" t="str">
        <f t="shared" si="13"/>
        <v>OK</v>
      </c>
      <c r="S82" s="3" t="str">
        <f t="shared" si="14"/>
        <v>mai/yy</v>
      </c>
      <c r="T82" s="3">
        <f t="shared" si="15"/>
        <v>20</v>
      </c>
      <c r="U82" s="3">
        <f t="shared" si="16"/>
        <v>2026</v>
      </c>
      <c r="V82" s="6">
        <f t="shared" si="17"/>
        <v>1</v>
      </c>
      <c r="W82" s="3" t="str">
        <f t="shared" si="18"/>
        <v>OK</v>
      </c>
    </row>
    <row r="83" spans="1:23" x14ac:dyDescent="0.25">
      <c r="A83" s="2">
        <f>CONTROLE_DIARIO!A84</f>
        <v>46153</v>
      </c>
      <c r="B83" s="51" t="str">
        <f>CONTROLE_DIARIO!B84</f>
        <v>Loja Valparaiso</v>
      </c>
      <c r="C83" s="3">
        <f>CONTROLE_DIARIO!C84</f>
        <v>3992</v>
      </c>
      <c r="D83" s="3" t="str">
        <f>CONTROLE_DIARIO!D84</f>
        <v>Wederson C.</v>
      </c>
      <c r="E83" s="3" t="str">
        <f>CONTROLE_DIARIO!E84</f>
        <v>Entrega Total</v>
      </c>
      <c r="F83" s="3" t="str">
        <f>CONTROLE_DIARIO!F84</f>
        <v>SIM</v>
      </c>
      <c r="G83" s="3" t="str">
        <f>CONTROLE_DIARIO!G84</f>
        <v>SIM</v>
      </c>
      <c r="H83" s="3" t="str">
        <f>CONTROLE_DIARIO!H84</f>
        <v>SIM</v>
      </c>
      <c r="I83" s="3" t="str">
        <f>CONTROLE_DIARIO!I84</f>
        <v>SIM</v>
      </c>
      <c r="J83" s="3" t="str">
        <f>CONTROLE_DIARIO!J84</f>
        <v>SIM</v>
      </c>
      <c r="K83" s="3" t="str">
        <f>CONTROLE_DIARIO!K84</f>
        <v>OK</v>
      </c>
      <c r="L83" s="51" t="str">
        <f>CONTROLE_DIARIO!L84</f>
        <v>Sem foto fachada</v>
      </c>
      <c r="M83" s="51">
        <f>CONTROLE_DIARIO!M84</f>
        <v>0</v>
      </c>
      <c r="N83" s="3" t="str">
        <f>CONTROLE_DIARIO!N84</f>
        <v>Qualidade</v>
      </c>
      <c r="O83" s="3" t="str">
        <f>CONTROLE_DIARIO!O84</f>
        <v>Cleonice</v>
      </c>
      <c r="P83" s="51" t="str">
        <f>CONTROLE_DIARIO!P84</f>
        <v>yyyy0511-Loja Valparaiso-3992</v>
      </c>
      <c r="Q83" s="6">
        <f t="shared" si="12"/>
        <v>1</v>
      </c>
      <c r="R83" s="54" t="str">
        <f t="shared" si="13"/>
        <v>OK</v>
      </c>
      <c r="S83" s="3" t="str">
        <f t="shared" si="14"/>
        <v>mai/yy</v>
      </c>
      <c r="T83" s="3">
        <f t="shared" si="15"/>
        <v>20</v>
      </c>
      <c r="U83" s="3">
        <f t="shared" si="16"/>
        <v>2026</v>
      </c>
      <c r="V83" s="6">
        <f t="shared" si="17"/>
        <v>1</v>
      </c>
      <c r="W83" s="3" t="str">
        <f t="shared" si="18"/>
        <v>OK</v>
      </c>
    </row>
    <row r="84" spans="1:23" x14ac:dyDescent="0.25">
      <c r="A84" s="2">
        <f>CONTROLE_DIARIO!A85</f>
        <v>46153</v>
      </c>
      <c r="B84" s="51" t="str">
        <f>CONTROLE_DIARIO!B85</f>
        <v>Loja ADE</v>
      </c>
      <c r="C84" s="3">
        <f>CONTROLE_DIARIO!C85</f>
        <v>3993</v>
      </c>
      <c r="D84" s="3" t="str">
        <f>CONTROLE_DIARIO!D85</f>
        <v>João Lucas</v>
      </c>
      <c r="E84" s="3" t="str">
        <f>CONTROLE_DIARIO!E85</f>
        <v>Entrega Total</v>
      </c>
      <c r="F84" s="3" t="str">
        <f>CONTROLE_DIARIO!F85</f>
        <v>NÃO</v>
      </c>
      <c r="G84" s="3" t="str">
        <f>CONTROLE_DIARIO!G85</f>
        <v>NÃO</v>
      </c>
      <c r="H84" s="3" t="str">
        <f>CONTROLE_DIARIO!H85</f>
        <v>NÃO</v>
      </c>
      <c r="I84" s="3" t="str">
        <f>CONTROLE_DIARIO!I85</f>
        <v>SIM</v>
      </c>
      <c r="J84" s="3" t="str">
        <f>CONTROLE_DIARIO!J85</f>
        <v>NÃO</v>
      </c>
      <c r="K84" s="3" t="str">
        <f>CONTROLE_DIARIO!K85</f>
        <v>NOK</v>
      </c>
      <c r="L84" s="51" t="str">
        <f>CONTROLE_DIARIO!L85</f>
        <v>Outro</v>
      </c>
      <c r="M84" s="51" t="str">
        <f>CONTROLE_DIARIO!M85</f>
        <v>Manifesto não entregue pelo app</v>
      </c>
      <c r="N84" s="3" t="str">
        <f>CONTROLE_DIARIO!N85</f>
        <v>Qualidade</v>
      </c>
      <c r="O84" s="3" t="str">
        <f>CONTROLE_DIARIO!O85</f>
        <v>Danilo</v>
      </c>
      <c r="P84" s="51" t="str">
        <f>CONTROLE_DIARIO!P85</f>
        <v>yyyy0511-Loja ADE-3993</v>
      </c>
      <c r="Q84" s="6">
        <f t="shared" si="12"/>
        <v>0.3</v>
      </c>
      <c r="R84" s="54" t="str">
        <f t="shared" si="13"/>
        <v>FORA APP</v>
      </c>
      <c r="S84" s="3" t="str">
        <f t="shared" si="14"/>
        <v>mai/yy</v>
      </c>
      <c r="T84" s="3">
        <f t="shared" si="15"/>
        <v>20</v>
      </c>
      <c r="U84" s="3">
        <f t="shared" si="16"/>
        <v>2026</v>
      </c>
      <c r="V84" s="6">
        <f t="shared" si="17"/>
        <v>0.3</v>
      </c>
      <c r="W84" s="3" t="str">
        <f t="shared" si="18"/>
        <v>CRÍTICO</v>
      </c>
    </row>
    <row r="85" spans="1:23" x14ac:dyDescent="0.25">
      <c r="A85" s="2">
        <f>CONTROLE_DIARIO!A86</f>
        <v>46153</v>
      </c>
      <c r="B85" s="51" t="str">
        <f>CONTROLE_DIARIO!B86</f>
        <v>Loja Valparaiso</v>
      </c>
      <c r="C85" s="3">
        <f>CONTROLE_DIARIO!C86</f>
        <v>3994</v>
      </c>
      <c r="D85" s="3" t="str">
        <f>CONTROLE_DIARIO!D86</f>
        <v>Wederson C.</v>
      </c>
      <c r="E85" s="3" t="str">
        <f>CONTROLE_DIARIO!E86</f>
        <v>Entrega Total</v>
      </c>
      <c r="F85" s="3" t="str">
        <f>CONTROLE_DIARIO!F86</f>
        <v>SIM</v>
      </c>
      <c r="G85" s="3" t="str">
        <f>CONTROLE_DIARIO!G86</f>
        <v>SIM</v>
      </c>
      <c r="H85" s="3" t="str">
        <f>CONTROLE_DIARIO!H86</f>
        <v>SIM</v>
      </c>
      <c r="I85" s="3" t="str">
        <f>CONTROLE_DIARIO!I86</f>
        <v>SIM</v>
      </c>
      <c r="J85" s="3" t="str">
        <f>CONTROLE_DIARIO!J86</f>
        <v>SIM</v>
      </c>
      <c r="K85" s="3" t="str">
        <f>CONTROLE_DIARIO!K86</f>
        <v>OK</v>
      </c>
      <c r="L85" s="51" t="str">
        <f>CONTROLE_DIARIO!L86</f>
        <v>Sem foto fachada</v>
      </c>
      <c r="M85" s="51">
        <f>CONTROLE_DIARIO!M86</f>
        <v>0</v>
      </c>
      <c r="N85" s="3" t="str">
        <f>CONTROLE_DIARIO!N86</f>
        <v>Qualidade</v>
      </c>
      <c r="O85" s="3" t="str">
        <f>CONTROLE_DIARIO!O86</f>
        <v>Cleonice</v>
      </c>
      <c r="P85" s="51" t="str">
        <f>CONTROLE_DIARIO!P86</f>
        <v>yyyy0511-Loja Valparaiso-3994</v>
      </c>
      <c r="Q85" s="6">
        <f t="shared" si="12"/>
        <v>1</v>
      </c>
      <c r="R85" s="54" t="str">
        <f t="shared" si="13"/>
        <v>OK</v>
      </c>
      <c r="S85" s="3" t="str">
        <f t="shared" si="14"/>
        <v>mai/yy</v>
      </c>
      <c r="T85" s="3">
        <f t="shared" si="15"/>
        <v>20</v>
      </c>
      <c r="U85" s="3">
        <f t="shared" si="16"/>
        <v>2026</v>
      </c>
      <c r="V85" s="6">
        <f t="shared" si="17"/>
        <v>1</v>
      </c>
      <c r="W85" s="3" t="str">
        <f t="shared" si="18"/>
        <v>OK</v>
      </c>
    </row>
    <row r="86" spans="1:23" x14ac:dyDescent="0.25">
      <c r="A86" s="2">
        <f>CONTROLE_DIARIO!A87</f>
        <v>46153</v>
      </c>
      <c r="B86" s="51" t="str">
        <f>CONTROLE_DIARIO!B87</f>
        <v>Loja Valparaiso</v>
      </c>
      <c r="C86" s="3">
        <f>CONTROLE_DIARIO!C87</f>
        <v>3995</v>
      </c>
      <c r="D86" s="3" t="str">
        <f>CONTROLE_DIARIO!D87</f>
        <v>Wederson C.</v>
      </c>
      <c r="E86" s="3" t="str">
        <f>CONTROLE_DIARIO!E87</f>
        <v>Entrega Total</v>
      </c>
      <c r="F86" s="3" t="str">
        <f>CONTROLE_DIARIO!F87</f>
        <v>SIM</v>
      </c>
      <c r="G86" s="3" t="str">
        <f>CONTROLE_DIARIO!G87</f>
        <v>SIM</v>
      </c>
      <c r="H86" s="3" t="str">
        <f>CONTROLE_DIARIO!H87</f>
        <v>SIM</v>
      </c>
      <c r="I86" s="3" t="str">
        <f>CONTROLE_DIARIO!I87</f>
        <v>SIM</v>
      </c>
      <c r="J86" s="3" t="str">
        <f>CONTROLE_DIARIO!J87</f>
        <v>SIM</v>
      </c>
      <c r="K86" s="3" t="str">
        <f>CONTROLE_DIARIO!K87</f>
        <v>OK</v>
      </c>
      <c r="L86" s="51" t="str">
        <f>CONTROLE_DIARIO!L87</f>
        <v>Sem foto fachada</v>
      </c>
      <c r="M86" s="51">
        <f>CONTROLE_DIARIO!M87</f>
        <v>0</v>
      </c>
      <c r="N86" s="3" t="str">
        <f>CONTROLE_DIARIO!N87</f>
        <v>Qualidade</v>
      </c>
      <c r="O86" s="3" t="str">
        <f>CONTROLE_DIARIO!O87</f>
        <v>Cleonice</v>
      </c>
      <c r="P86" s="51" t="str">
        <f>CONTROLE_DIARIO!P87</f>
        <v>yyyy0511-Loja Valparaiso-3995</v>
      </c>
      <c r="Q86" s="6">
        <f t="shared" si="12"/>
        <v>1</v>
      </c>
      <c r="R86" s="54" t="str">
        <f t="shared" si="13"/>
        <v>OK</v>
      </c>
      <c r="S86" s="3" t="str">
        <f t="shared" si="14"/>
        <v>mai/yy</v>
      </c>
      <c r="T86" s="3">
        <f t="shared" si="15"/>
        <v>20</v>
      </c>
      <c r="U86" s="3">
        <f t="shared" si="16"/>
        <v>2026</v>
      </c>
      <c r="V86" s="6">
        <f t="shared" si="17"/>
        <v>1</v>
      </c>
      <c r="W86" s="3" t="str">
        <f t="shared" si="18"/>
        <v>OK</v>
      </c>
    </row>
    <row r="87" spans="1:23" x14ac:dyDescent="0.25">
      <c r="A87" s="2">
        <f>CONTROLE_DIARIO!A88</f>
        <v>46153</v>
      </c>
      <c r="B87" s="51" t="str">
        <f>CONTROLE_DIARIO!B88</f>
        <v>Loja Pistão</v>
      </c>
      <c r="C87" s="3">
        <f>CONTROLE_DIARIO!C88</f>
        <v>3996</v>
      </c>
      <c r="D87" s="3" t="str">
        <f>CONTROLE_DIARIO!D88</f>
        <v>João Lucas</v>
      </c>
      <c r="E87" s="3" t="str">
        <f>CONTROLE_DIARIO!E88</f>
        <v>Entrega Total</v>
      </c>
      <c r="F87" s="3" t="str">
        <f>CONTROLE_DIARIO!F88</f>
        <v>NÃO</v>
      </c>
      <c r="G87" s="3" t="str">
        <f>CONTROLE_DIARIO!G88</f>
        <v>NÃO</v>
      </c>
      <c r="H87" s="3" t="str">
        <f>CONTROLE_DIARIO!H88</f>
        <v>NÃO</v>
      </c>
      <c r="I87" s="3" t="str">
        <f>CONTROLE_DIARIO!I88</f>
        <v>SIM</v>
      </c>
      <c r="J87" s="3" t="str">
        <f>CONTROLE_DIARIO!J88</f>
        <v>NÃO</v>
      </c>
      <c r="K87" s="3" t="str">
        <f>CONTROLE_DIARIO!K88</f>
        <v>NOK</v>
      </c>
      <c r="L87" s="51" t="str">
        <f>CONTROLE_DIARIO!L88</f>
        <v>Outro</v>
      </c>
      <c r="M87" s="51" t="str">
        <f>CONTROLE_DIARIO!M88</f>
        <v>Manifesto não entregue pelo app</v>
      </c>
      <c r="N87" s="3" t="str">
        <f>CONTROLE_DIARIO!N88</f>
        <v>Qualidade</v>
      </c>
      <c r="O87" s="3" t="str">
        <f>CONTROLE_DIARIO!O88</f>
        <v>Cinthya</v>
      </c>
      <c r="P87" s="51" t="str">
        <f>CONTROLE_DIARIO!P88</f>
        <v>yyyy0511-Loja Pistão-3996</v>
      </c>
      <c r="Q87" s="6">
        <f t="shared" si="12"/>
        <v>0.3</v>
      </c>
      <c r="R87" s="54" t="str">
        <f t="shared" si="13"/>
        <v>FORA APP</v>
      </c>
      <c r="S87" s="3" t="str">
        <f t="shared" si="14"/>
        <v>mai/yy</v>
      </c>
      <c r="T87" s="3">
        <f t="shared" si="15"/>
        <v>20</v>
      </c>
      <c r="U87" s="3">
        <f t="shared" si="16"/>
        <v>2026</v>
      </c>
      <c r="V87" s="6">
        <f t="shared" si="17"/>
        <v>0.3</v>
      </c>
      <c r="W87" s="3" t="str">
        <f t="shared" si="18"/>
        <v>CRÍTICO</v>
      </c>
    </row>
    <row r="88" spans="1:23" x14ac:dyDescent="0.25">
      <c r="A88" s="2">
        <f>CONTROLE_DIARIO!A89</f>
        <v>46153</v>
      </c>
      <c r="B88" s="51" t="str">
        <f>CONTROLE_DIARIO!B89</f>
        <v>Loja Valparaiso</v>
      </c>
      <c r="C88" s="3">
        <f>CONTROLE_DIARIO!C89</f>
        <v>3997</v>
      </c>
      <c r="D88" s="3" t="str">
        <f>CONTROLE_DIARIO!D89</f>
        <v>Wederson C.</v>
      </c>
      <c r="E88" s="3" t="str">
        <f>CONTROLE_DIARIO!E89</f>
        <v>Entrega Total</v>
      </c>
      <c r="F88" s="3" t="str">
        <f>CONTROLE_DIARIO!F89</f>
        <v>SIM</v>
      </c>
      <c r="G88" s="3" t="str">
        <f>CONTROLE_DIARIO!G89</f>
        <v>SIM</v>
      </c>
      <c r="H88" s="3" t="str">
        <f>CONTROLE_DIARIO!H89</f>
        <v>SIM</v>
      </c>
      <c r="I88" s="3" t="str">
        <f>CONTROLE_DIARIO!I89</f>
        <v>SIM</v>
      </c>
      <c r="J88" s="3" t="str">
        <f>CONTROLE_DIARIO!J89</f>
        <v>SIM</v>
      </c>
      <c r="K88" s="3" t="str">
        <f>CONTROLE_DIARIO!K89</f>
        <v>OK</v>
      </c>
      <c r="L88" s="51" t="str">
        <f>CONTROLE_DIARIO!L89</f>
        <v>Sem foto fachada</v>
      </c>
      <c r="M88" s="51">
        <f>CONTROLE_DIARIO!M89</f>
        <v>0</v>
      </c>
      <c r="N88" s="3" t="str">
        <f>CONTROLE_DIARIO!N89</f>
        <v>Qualidade</v>
      </c>
      <c r="O88" s="3" t="str">
        <f>CONTROLE_DIARIO!O89</f>
        <v>Cleonice</v>
      </c>
      <c r="P88" s="51" t="str">
        <f>CONTROLE_DIARIO!P89</f>
        <v>yyyy0511-Loja Valparaiso-3997</v>
      </c>
      <c r="Q88" s="6">
        <f t="shared" si="12"/>
        <v>1</v>
      </c>
      <c r="R88" s="54" t="str">
        <f t="shared" si="13"/>
        <v>OK</v>
      </c>
      <c r="S88" s="3" t="str">
        <f t="shared" si="14"/>
        <v>mai/yy</v>
      </c>
      <c r="T88" s="3">
        <f t="shared" si="15"/>
        <v>20</v>
      </c>
      <c r="U88" s="3">
        <f t="shared" si="16"/>
        <v>2026</v>
      </c>
      <c r="V88" s="6">
        <f t="shared" si="17"/>
        <v>1</v>
      </c>
      <c r="W88" s="3" t="str">
        <f t="shared" si="18"/>
        <v>OK</v>
      </c>
    </row>
    <row r="89" spans="1:23" x14ac:dyDescent="0.25">
      <c r="A89" s="2">
        <f>CONTROLE_DIARIO!A90</f>
        <v>46153</v>
      </c>
      <c r="B89" s="51" t="str">
        <f>CONTROLE_DIARIO!B90</f>
        <v>Loja Valparaiso</v>
      </c>
      <c r="C89" s="3">
        <f>CONTROLE_DIARIO!C90</f>
        <v>3998</v>
      </c>
      <c r="D89" s="3" t="str">
        <f>CONTROLE_DIARIO!D90</f>
        <v>Wederson C.</v>
      </c>
      <c r="E89" s="3" t="str">
        <f>CONTROLE_DIARIO!E90</f>
        <v>Entrega Total</v>
      </c>
      <c r="F89" s="3" t="str">
        <f>CONTROLE_DIARIO!F90</f>
        <v>SIM</v>
      </c>
      <c r="G89" s="3" t="str">
        <f>CONTROLE_DIARIO!G90</f>
        <v>SIM</v>
      </c>
      <c r="H89" s="3" t="str">
        <f>CONTROLE_DIARIO!H90</f>
        <v>SIM</v>
      </c>
      <c r="I89" s="3" t="str">
        <f>CONTROLE_DIARIO!I90</f>
        <v>SIM</v>
      </c>
      <c r="J89" s="3" t="str">
        <f>CONTROLE_DIARIO!J90</f>
        <v>SIM</v>
      </c>
      <c r="K89" s="3" t="str">
        <f>CONTROLE_DIARIO!K90</f>
        <v>OK</v>
      </c>
      <c r="L89" s="51" t="str">
        <f>CONTROLE_DIARIO!L90</f>
        <v>Sem foto fachada</v>
      </c>
      <c r="M89" s="51">
        <f>CONTROLE_DIARIO!M90</f>
        <v>0</v>
      </c>
      <c r="N89" s="3" t="str">
        <f>CONTROLE_DIARIO!N90</f>
        <v>Qualidade</v>
      </c>
      <c r="O89" s="3" t="str">
        <f>CONTROLE_DIARIO!O90</f>
        <v>Cleonice</v>
      </c>
      <c r="P89" s="51" t="str">
        <f>CONTROLE_DIARIO!P90</f>
        <v>yyyy0511-Loja Valparaiso-3998</v>
      </c>
      <c r="Q89" s="6">
        <f t="shared" si="12"/>
        <v>1</v>
      </c>
      <c r="R89" s="54" t="str">
        <f t="shared" si="13"/>
        <v>OK</v>
      </c>
      <c r="S89" s="3" t="str">
        <f t="shared" si="14"/>
        <v>mai/yy</v>
      </c>
      <c r="T89" s="3">
        <f t="shared" si="15"/>
        <v>20</v>
      </c>
      <c r="U89" s="3">
        <f t="shared" si="16"/>
        <v>2026</v>
      </c>
      <c r="V89" s="6">
        <f t="shared" si="17"/>
        <v>1</v>
      </c>
      <c r="W89" s="3" t="str">
        <f t="shared" si="18"/>
        <v>OK</v>
      </c>
    </row>
    <row r="90" spans="1:23" x14ac:dyDescent="0.25">
      <c r="A90" s="2">
        <f>CONTROLE_DIARIO!A91</f>
        <v>46153</v>
      </c>
      <c r="B90" s="51" t="str">
        <f>CONTROLE_DIARIO!B91</f>
        <v>Loja Valparaiso</v>
      </c>
      <c r="C90" s="3">
        <f>CONTROLE_DIARIO!C91</f>
        <v>3999</v>
      </c>
      <c r="D90" s="3" t="str">
        <f>CONTROLE_DIARIO!D91</f>
        <v>Wederson C.</v>
      </c>
      <c r="E90" s="3" t="str">
        <f>CONTROLE_DIARIO!E91</f>
        <v>Entrega Total</v>
      </c>
      <c r="F90" s="3" t="str">
        <f>CONTROLE_DIARIO!F91</f>
        <v>SIM</v>
      </c>
      <c r="G90" s="3" t="str">
        <f>CONTROLE_DIARIO!G91</f>
        <v>SIM</v>
      </c>
      <c r="H90" s="3" t="str">
        <f>CONTROLE_DIARIO!H91</f>
        <v>SIM</v>
      </c>
      <c r="I90" s="3" t="str">
        <f>CONTROLE_DIARIO!I91</f>
        <v>SIM</v>
      </c>
      <c r="J90" s="3" t="str">
        <f>CONTROLE_DIARIO!J91</f>
        <v>SIM</v>
      </c>
      <c r="K90" s="3" t="str">
        <f>CONTROLE_DIARIO!K91</f>
        <v>OK</v>
      </c>
      <c r="L90" s="51" t="str">
        <f>CONTROLE_DIARIO!L91</f>
        <v>Sem foto fachada</v>
      </c>
      <c r="M90" s="51">
        <f>CONTROLE_DIARIO!M91</f>
        <v>0</v>
      </c>
      <c r="N90" s="3" t="str">
        <f>CONTROLE_DIARIO!N91</f>
        <v>Qualidade</v>
      </c>
      <c r="O90" s="3" t="str">
        <f>CONTROLE_DIARIO!O91</f>
        <v>Cleonice</v>
      </c>
      <c r="P90" s="51" t="str">
        <f>CONTROLE_DIARIO!P91</f>
        <v>yyyy0511-Loja Valparaiso-3999</v>
      </c>
      <c r="Q90" s="6">
        <f t="shared" si="12"/>
        <v>1</v>
      </c>
      <c r="R90" s="54" t="str">
        <f t="shared" si="13"/>
        <v>OK</v>
      </c>
      <c r="S90" s="3" t="str">
        <f t="shared" si="14"/>
        <v>mai/yy</v>
      </c>
      <c r="T90" s="3">
        <f t="shared" si="15"/>
        <v>20</v>
      </c>
      <c r="U90" s="3">
        <f t="shared" si="16"/>
        <v>2026</v>
      </c>
      <c r="V90" s="6">
        <f t="shared" si="17"/>
        <v>1</v>
      </c>
      <c r="W90" s="3" t="str">
        <f t="shared" si="18"/>
        <v>OK</v>
      </c>
    </row>
    <row r="91" spans="1:23" x14ac:dyDescent="0.25">
      <c r="A91" s="2">
        <f>CONTROLE_DIARIO!A92</f>
        <v>46153</v>
      </c>
      <c r="B91" s="51" t="str">
        <f>CONTROLE_DIARIO!B92</f>
        <v>Loja Pistão</v>
      </c>
      <c r="C91" s="3">
        <f>CONTROLE_DIARIO!C92</f>
        <v>4000</v>
      </c>
      <c r="D91" s="3" t="str">
        <f>CONTROLE_DIARIO!D92</f>
        <v>João Lucas</v>
      </c>
      <c r="E91" s="3" t="str">
        <f>CONTROLE_DIARIO!E92</f>
        <v>Entrega Total</v>
      </c>
      <c r="F91" s="3" t="str">
        <f>CONTROLE_DIARIO!F92</f>
        <v>NÃO</v>
      </c>
      <c r="G91" s="3" t="str">
        <f>CONTROLE_DIARIO!G92</f>
        <v>NÃO</v>
      </c>
      <c r="H91" s="3" t="str">
        <f>CONTROLE_DIARIO!H92</f>
        <v>NÃO</v>
      </c>
      <c r="I91" s="3" t="str">
        <f>CONTROLE_DIARIO!I92</f>
        <v>SIM</v>
      </c>
      <c r="J91" s="3" t="str">
        <f>CONTROLE_DIARIO!J92</f>
        <v>NÃO</v>
      </c>
      <c r="K91" s="3" t="str">
        <f>CONTROLE_DIARIO!K92</f>
        <v>NOK</v>
      </c>
      <c r="L91" s="51" t="str">
        <f>CONTROLE_DIARIO!L92</f>
        <v>Outro</v>
      </c>
      <c r="M91" s="51" t="str">
        <f>CONTROLE_DIARIO!M92</f>
        <v>Manifesto não entregue pelo app</v>
      </c>
      <c r="N91" s="3" t="str">
        <f>CONTROLE_DIARIO!N92</f>
        <v>Qualidade</v>
      </c>
      <c r="O91" s="3" t="str">
        <f>CONTROLE_DIARIO!O92</f>
        <v>Cinthya</v>
      </c>
      <c r="P91" s="51" t="str">
        <f>CONTROLE_DIARIO!P92</f>
        <v>yyyy0511-Loja Pistão-4000</v>
      </c>
      <c r="Q91" s="6">
        <f t="shared" si="12"/>
        <v>0.3</v>
      </c>
      <c r="R91" s="54" t="str">
        <f t="shared" si="13"/>
        <v>FORA APP</v>
      </c>
      <c r="S91" s="3" t="str">
        <f t="shared" si="14"/>
        <v>mai/yy</v>
      </c>
      <c r="T91" s="3">
        <f t="shared" si="15"/>
        <v>20</v>
      </c>
      <c r="U91" s="3">
        <f t="shared" si="16"/>
        <v>2026</v>
      </c>
      <c r="V91" s="6">
        <f t="shared" si="17"/>
        <v>0.3</v>
      </c>
      <c r="W91" s="3" t="str">
        <f t="shared" si="18"/>
        <v>CRÍTICO</v>
      </c>
    </row>
    <row r="92" spans="1:23" x14ac:dyDescent="0.25">
      <c r="A92" s="2">
        <f>CONTROLE_DIARIO!A93</f>
        <v>46154</v>
      </c>
      <c r="B92" s="51" t="str">
        <f>CONTROLE_DIARIO!B93</f>
        <v>Loja Valparaiso</v>
      </c>
      <c r="C92" s="3">
        <f>CONTROLE_DIARIO!C93</f>
        <v>4006</v>
      </c>
      <c r="D92" s="3" t="str">
        <f>CONTROLE_DIARIO!D93</f>
        <v>Wederson C.</v>
      </c>
      <c r="E92" s="3" t="str">
        <f>CONTROLE_DIARIO!E93</f>
        <v>Entrega Total</v>
      </c>
      <c r="F92" s="3" t="str">
        <f>CONTROLE_DIARIO!F93</f>
        <v>SIM</v>
      </c>
      <c r="G92" s="3" t="str">
        <f>CONTROLE_DIARIO!G93</f>
        <v>SIM</v>
      </c>
      <c r="H92" s="3" t="str">
        <f>CONTROLE_DIARIO!H93</f>
        <v>SIM</v>
      </c>
      <c r="I92" s="3" t="str">
        <f>CONTROLE_DIARIO!I93</f>
        <v>SIM</v>
      </c>
      <c r="J92" s="3" t="str">
        <f>CONTROLE_DIARIO!J93</f>
        <v>SIM</v>
      </c>
      <c r="K92" s="3" t="str">
        <f>CONTROLE_DIARIO!K93</f>
        <v>OK</v>
      </c>
      <c r="L92" s="51" t="str">
        <f>CONTROLE_DIARIO!L93</f>
        <v>Sem foto fachada</v>
      </c>
      <c r="M92" s="51">
        <f>CONTROLE_DIARIO!M93</f>
        <v>0</v>
      </c>
      <c r="N92" s="3" t="str">
        <f>CONTROLE_DIARIO!N93</f>
        <v>Qualidade</v>
      </c>
      <c r="O92" s="3" t="str">
        <f>CONTROLE_DIARIO!O93</f>
        <v>Cleonice</v>
      </c>
      <c r="P92" s="51" t="str">
        <f>CONTROLE_DIARIO!P93</f>
        <v>yyyy0512-Loja Valparaiso-4006</v>
      </c>
      <c r="Q92" s="6">
        <f t="shared" si="12"/>
        <v>1</v>
      </c>
      <c r="R92" s="54" t="str">
        <f t="shared" si="13"/>
        <v>OK</v>
      </c>
      <c r="S92" s="3" t="str">
        <f t="shared" si="14"/>
        <v>mai/yy</v>
      </c>
      <c r="T92" s="3">
        <f t="shared" si="15"/>
        <v>20</v>
      </c>
      <c r="U92" s="3">
        <f t="shared" si="16"/>
        <v>2026</v>
      </c>
      <c r="V92" s="6">
        <f t="shared" si="17"/>
        <v>1</v>
      </c>
      <c r="W92" s="3" t="str">
        <f t="shared" si="18"/>
        <v>OK</v>
      </c>
    </row>
    <row r="93" spans="1:23" x14ac:dyDescent="0.25">
      <c r="A93" s="2">
        <f>CONTROLE_DIARIO!A94</f>
        <v>46154</v>
      </c>
      <c r="B93" s="51" t="str">
        <f>CONTROLE_DIARIO!B94</f>
        <v>Loja Valparaiso</v>
      </c>
      <c r="C93" s="3">
        <f>CONTROLE_DIARIO!C94</f>
        <v>4007</v>
      </c>
      <c r="D93" s="3" t="str">
        <f>CONTROLE_DIARIO!D94</f>
        <v>Wederson C.</v>
      </c>
      <c r="E93" s="3" t="str">
        <f>CONTROLE_DIARIO!E94</f>
        <v>Entrega Total</v>
      </c>
      <c r="F93" s="3" t="str">
        <f>CONTROLE_DIARIO!F94</f>
        <v>SIM</v>
      </c>
      <c r="G93" s="3" t="str">
        <f>CONTROLE_DIARIO!G94</f>
        <v>SIM</v>
      </c>
      <c r="H93" s="3" t="str">
        <f>CONTROLE_DIARIO!H94</f>
        <v>SIM</v>
      </c>
      <c r="I93" s="3" t="str">
        <f>CONTROLE_DIARIO!I94</f>
        <v>SIM</v>
      </c>
      <c r="J93" s="3" t="str">
        <f>CONTROLE_DIARIO!J94</f>
        <v>SIM</v>
      </c>
      <c r="K93" s="3" t="str">
        <f>CONTROLE_DIARIO!K94</f>
        <v>OK</v>
      </c>
      <c r="L93" s="51" t="str">
        <f>CONTROLE_DIARIO!L94</f>
        <v>Sem foto fachada</v>
      </c>
      <c r="M93" s="51">
        <f>CONTROLE_DIARIO!M94</f>
        <v>0</v>
      </c>
      <c r="N93" s="3" t="str">
        <f>CONTROLE_DIARIO!N94</f>
        <v>Qualidade</v>
      </c>
      <c r="O93" s="3" t="str">
        <f>CONTROLE_DIARIO!O94</f>
        <v>Cleonice</v>
      </c>
      <c r="P93" s="51" t="str">
        <f>CONTROLE_DIARIO!P94</f>
        <v>yyyy0512-Loja Valparaiso-4007</v>
      </c>
      <c r="Q93" s="6">
        <f t="shared" si="12"/>
        <v>1</v>
      </c>
      <c r="R93" s="54" t="str">
        <f t="shared" si="13"/>
        <v>OK</v>
      </c>
      <c r="S93" s="3" t="str">
        <f t="shared" si="14"/>
        <v>mai/yy</v>
      </c>
      <c r="T93" s="3">
        <f t="shared" si="15"/>
        <v>20</v>
      </c>
      <c r="U93" s="3">
        <f t="shared" si="16"/>
        <v>2026</v>
      </c>
      <c r="V93" s="6">
        <f t="shared" si="17"/>
        <v>1</v>
      </c>
      <c r="W93" s="3" t="str">
        <f t="shared" si="18"/>
        <v>OK</v>
      </c>
    </row>
    <row r="94" spans="1:23" x14ac:dyDescent="0.25">
      <c r="A94" s="2">
        <f>CONTROLE_DIARIO!A95</f>
        <v>46154</v>
      </c>
      <c r="B94" s="51" t="str">
        <f>CONTROLE_DIARIO!B95</f>
        <v>Loja Valparaiso</v>
      </c>
      <c r="C94" s="3">
        <f>CONTROLE_DIARIO!C95</f>
        <v>4008</v>
      </c>
      <c r="D94" s="3" t="str">
        <f>CONTROLE_DIARIO!D95</f>
        <v>Wederson C.</v>
      </c>
      <c r="E94" s="3" t="str">
        <f>CONTROLE_DIARIO!E95</f>
        <v>Entrega Total</v>
      </c>
      <c r="F94" s="3" t="str">
        <f>CONTROLE_DIARIO!F95</f>
        <v>SIM</v>
      </c>
      <c r="G94" s="3" t="str">
        <f>CONTROLE_DIARIO!G95</f>
        <v>SIM</v>
      </c>
      <c r="H94" s="3" t="str">
        <f>CONTROLE_DIARIO!H95</f>
        <v>SIM</v>
      </c>
      <c r="I94" s="3" t="str">
        <f>CONTROLE_DIARIO!I95</f>
        <v>SIM</v>
      </c>
      <c r="J94" s="3" t="str">
        <f>CONTROLE_DIARIO!J95</f>
        <v>SIM</v>
      </c>
      <c r="K94" s="3" t="str">
        <f>CONTROLE_DIARIO!K95</f>
        <v>OK</v>
      </c>
      <c r="L94" s="51" t="str">
        <f>CONTROLE_DIARIO!L95</f>
        <v>Sem foto fachada</v>
      </c>
      <c r="M94" s="51">
        <f>CONTROLE_DIARIO!M95</f>
        <v>0</v>
      </c>
      <c r="N94" s="3" t="str">
        <f>CONTROLE_DIARIO!N95</f>
        <v>Qualidade</v>
      </c>
      <c r="O94" s="3" t="str">
        <f>CONTROLE_DIARIO!O95</f>
        <v>Cleonice</v>
      </c>
      <c r="P94" s="51" t="str">
        <f>CONTROLE_DIARIO!P95</f>
        <v>yyyy0512-Loja Valparaiso-4008</v>
      </c>
      <c r="Q94" s="6">
        <f t="shared" si="12"/>
        <v>1</v>
      </c>
      <c r="R94" s="54" t="str">
        <f t="shared" si="13"/>
        <v>OK</v>
      </c>
      <c r="S94" s="3" t="str">
        <f t="shared" si="14"/>
        <v>mai/yy</v>
      </c>
      <c r="T94" s="3">
        <f t="shared" si="15"/>
        <v>20</v>
      </c>
      <c r="U94" s="3">
        <f t="shared" si="16"/>
        <v>2026</v>
      </c>
      <c r="V94" s="6">
        <f t="shared" si="17"/>
        <v>1</v>
      </c>
      <c r="W94" s="3" t="str">
        <f t="shared" si="18"/>
        <v>OK</v>
      </c>
    </row>
    <row r="95" spans="1:23" x14ac:dyDescent="0.25">
      <c r="A95" s="2">
        <f>CONTROLE_DIARIO!A96</f>
        <v>46154</v>
      </c>
      <c r="B95" s="51" t="str">
        <f>CONTROLE_DIARIO!B96</f>
        <v>Loja Valparaiso</v>
      </c>
      <c r="C95" s="3">
        <f>CONTROLE_DIARIO!C96</f>
        <v>4009</v>
      </c>
      <c r="D95" s="3" t="str">
        <f>CONTROLE_DIARIO!D96</f>
        <v>Wederson C.</v>
      </c>
      <c r="E95" s="3" t="str">
        <f>CONTROLE_DIARIO!E96</f>
        <v>Entrega Total</v>
      </c>
      <c r="F95" s="3" t="str">
        <f>CONTROLE_DIARIO!F96</f>
        <v>SIM</v>
      </c>
      <c r="G95" s="3" t="str">
        <f>CONTROLE_DIARIO!G96</f>
        <v>SIM</v>
      </c>
      <c r="H95" s="3" t="str">
        <f>CONTROLE_DIARIO!H96</f>
        <v>SIM</v>
      </c>
      <c r="I95" s="3" t="str">
        <f>CONTROLE_DIARIO!I96</f>
        <v>SIM</v>
      </c>
      <c r="J95" s="3" t="str">
        <f>CONTROLE_DIARIO!J96</f>
        <v>SIM</v>
      </c>
      <c r="K95" s="3" t="str">
        <f>CONTROLE_DIARIO!K96</f>
        <v>OK</v>
      </c>
      <c r="L95" s="51" t="str">
        <f>CONTROLE_DIARIO!L96</f>
        <v>Sem foto fachada</v>
      </c>
      <c r="M95" s="51">
        <f>CONTROLE_DIARIO!M96</f>
        <v>0</v>
      </c>
      <c r="N95" s="3" t="str">
        <f>CONTROLE_DIARIO!N96</f>
        <v>Qualidade</v>
      </c>
      <c r="O95" s="3" t="str">
        <f>CONTROLE_DIARIO!O96</f>
        <v>Cleonice</v>
      </c>
      <c r="P95" s="51" t="str">
        <f>CONTROLE_DIARIO!P96</f>
        <v>yyyy0512-Loja Valparaiso-4009</v>
      </c>
      <c r="Q95" s="6">
        <f t="shared" si="12"/>
        <v>1</v>
      </c>
      <c r="R95" s="54" t="str">
        <f t="shared" si="13"/>
        <v>OK</v>
      </c>
      <c r="S95" s="3" t="str">
        <f t="shared" si="14"/>
        <v>mai/yy</v>
      </c>
      <c r="T95" s="3">
        <f t="shared" si="15"/>
        <v>20</v>
      </c>
      <c r="U95" s="3">
        <f t="shared" si="16"/>
        <v>2026</v>
      </c>
      <c r="V95" s="6">
        <f t="shared" si="17"/>
        <v>1</v>
      </c>
      <c r="W95" s="3" t="str">
        <f t="shared" si="18"/>
        <v>OK</v>
      </c>
    </row>
    <row r="96" spans="1:23" x14ac:dyDescent="0.25">
      <c r="A96" s="2">
        <f>CONTROLE_DIARIO!A97</f>
        <v>46156</v>
      </c>
      <c r="B96" s="51" t="str">
        <f>CONTROLE_DIARIO!B97</f>
        <v>Loja ADE</v>
      </c>
      <c r="C96" s="3">
        <f>CONTROLE_DIARIO!C97</f>
        <v>4011</v>
      </c>
      <c r="D96" s="3" t="str">
        <f>CONTROLE_DIARIO!D97</f>
        <v>João Lucas</v>
      </c>
      <c r="E96" s="3" t="str">
        <f>CONTROLE_DIARIO!E97</f>
        <v>Entrega Total</v>
      </c>
      <c r="F96" s="3" t="str">
        <f>CONTROLE_DIARIO!F97</f>
        <v>SIM</v>
      </c>
      <c r="G96" s="3" t="str">
        <f>CONTROLE_DIARIO!G97</f>
        <v>SIM</v>
      </c>
      <c r="H96" s="3" t="str">
        <f>CONTROLE_DIARIO!H97</f>
        <v>SIM</v>
      </c>
      <c r="I96" s="3" t="str">
        <f>CONTROLE_DIARIO!I97</f>
        <v>SIM</v>
      </c>
      <c r="J96" s="3" t="str">
        <f>CONTROLE_DIARIO!J97</f>
        <v>SIM</v>
      </c>
      <c r="K96" s="3" t="str">
        <f>CONTROLE_DIARIO!K97</f>
        <v>OK</v>
      </c>
      <c r="L96" s="51" t="str">
        <f>CONTROLE_DIARIO!L97</f>
        <v>OK</v>
      </c>
      <c r="M96" s="51">
        <f>CONTROLE_DIARIO!M97</f>
        <v>0</v>
      </c>
      <c r="N96" s="3" t="str">
        <f>CONTROLE_DIARIO!N97</f>
        <v>Qualidade</v>
      </c>
      <c r="O96" s="3" t="str">
        <f>CONTROLE_DIARIO!O97</f>
        <v>Danilo</v>
      </c>
      <c r="P96" s="51" t="str">
        <f>CONTROLE_DIARIO!P97</f>
        <v>yyyy0514-Loja ADE-4011</v>
      </c>
      <c r="Q96" s="6">
        <f t="shared" si="12"/>
        <v>1</v>
      </c>
      <c r="R96" s="54" t="str">
        <f t="shared" si="13"/>
        <v>OK</v>
      </c>
      <c r="S96" s="3" t="str">
        <f t="shared" si="14"/>
        <v>mai/yy</v>
      </c>
      <c r="T96" s="3">
        <f t="shared" si="15"/>
        <v>20</v>
      </c>
      <c r="U96" s="3">
        <f t="shared" si="16"/>
        <v>2026</v>
      </c>
      <c r="V96" s="6">
        <f t="shared" si="17"/>
        <v>1</v>
      </c>
      <c r="W96" s="3" t="str">
        <f t="shared" si="18"/>
        <v>OK</v>
      </c>
    </row>
    <row r="97" spans="1:23" x14ac:dyDescent="0.25">
      <c r="A97" s="2">
        <f>CONTROLE_DIARIO!A98</f>
        <v>46156</v>
      </c>
      <c r="B97" s="51" t="str">
        <f>CONTROLE_DIARIO!B98</f>
        <v>Loja ADE</v>
      </c>
      <c r="C97" s="3">
        <f>CONTROLE_DIARIO!C98</f>
        <v>4012</v>
      </c>
      <c r="D97" s="3" t="str">
        <f>CONTROLE_DIARIO!D98</f>
        <v>João Lucas</v>
      </c>
      <c r="E97" s="3" t="str">
        <f>CONTROLE_DIARIO!E98</f>
        <v>Retorno Total</v>
      </c>
      <c r="F97" s="3">
        <f>CONTROLE_DIARIO!F98</f>
        <v>0</v>
      </c>
      <c r="G97" s="3">
        <f>CONTROLE_DIARIO!G98</f>
        <v>0</v>
      </c>
      <c r="H97" s="3">
        <f>CONTROLE_DIARIO!H98</f>
        <v>0</v>
      </c>
      <c r="I97" s="3">
        <f>CONTROLE_DIARIO!I98</f>
        <v>0</v>
      </c>
      <c r="J97" s="3" t="str">
        <f>CONTROLE_DIARIO!J98</f>
        <v xml:space="preserve"> </v>
      </c>
      <c r="K97" s="3" t="str">
        <f>CONTROLE_DIARIO!K98</f>
        <v>NOK</v>
      </c>
      <c r="L97" s="51" t="str">
        <f>CONTROLE_DIARIO!L98</f>
        <v>Outro</v>
      </c>
      <c r="M97" s="51">
        <f>CONTROLE_DIARIO!M98</f>
        <v>0</v>
      </c>
      <c r="N97" s="3" t="str">
        <f>CONTROLE_DIARIO!N98</f>
        <v>Qualidade</v>
      </c>
      <c r="O97" s="3" t="str">
        <f>CONTROLE_DIARIO!O98</f>
        <v>Danilo</v>
      </c>
      <c r="P97" s="51" t="str">
        <f>CONTROLE_DIARIO!P98</f>
        <v>yyyy0514-Loja ADE-4012</v>
      </c>
      <c r="Q97" s="6">
        <f t="shared" si="12"/>
        <v>0</v>
      </c>
      <c r="R97" s="54" t="str">
        <f t="shared" si="13"/>
        <v>Retorno Total</v>
      </c>
      <c r="S97" s="3" t="str">
        <f t="shared" si="14"/>
        <v>mai/yy</v>
      </c>
      <c r="T97" s="3">
        <f t="shared" si="15"/>
        <v>20</v>
      </c>
      <c r="U97" s="3">
        <f t="shared" si="16"/>
        <v>2026</v>
      </c>
      <c r="V97" s="6">
        <f t="shared" si="17"/>
        <v>0</v>
      </c>
      <c r="W97" s="3" t="str">
        <f t="shared" si="18"/>
        <v>CRÍTICO</v>
      </c>
    </row>
    <row r="98" spans="1:23" x14ac:dyDescent="0.25">
      <c r="A98" s="2">
        <f>CONTROLE_DIARIO!A99</f>
        <v>46156</v>
      </c>
      <c r="B98" s="51" t="str">
        <f>CONTROLE_DIARIO!B99</f>
        <v>Loja Asa Norte</v>
      </c>
      <c r="C98" s="3">
        <f>CONTROLE_DIARIO!C99</f>
        <v>4013</v>
      </c>
      <c r="D98" s="3" t="str">
        <f>CONTROLE_DIARIO!D99</f>
        <v>J. Alessandro</v>
      </c>
      <c r="E98" s="3" t="str">
        <f>CONTROLE_DIARIO!E99</f>
        <v>Entrega Total</v>
      </c>
      <c r="F98" s="3" t="str">
        <f>CONTROLE_DIARIO!F99</f>
        <v>NÃO</v>
      </c>
      <c r="G98" s="3" t="str">
        <f>CONTROLE_DIARIO!G99</f>
        <v>NÃO</v>
      </c>
      <c r="H98" s="3" t="str">
        <f>CONTROLE_DIARIO!H99</f>
        <v>NÃO</v>
      </c>
      <c r="I98" s="3" t="str">
        <f>CONTROLE_DIARIO!I99</f>
        <v>SIM</v>
      </c>
      <c r="J98" s="3" t="str">
        <f>CONTROLE_DIARIO!J99</f>
        <v>NÃO</v>
      </c>
      <c r="K98" s="3" t="str">
        <f>CONTROLE_DIARIO!K99</f>
        <v>NOK</v>
      </c>
      <c r="L98" s="51" t="str">
        <f>CONTROLE_DIARIO!L99</f>
        <v>Outro</v>
      </c>
      <c r="M98" s="51" t="str">
        <f>CONTROLE_DIARIO!M99</f>
        <v>Manifesto não entregue pelo app</v>
      </c>
      <c r="N98" s="3" t="str">
        <f>CONTROLE_DIARIO!N99</f>
        <v>Qualidade</v>
      </c>
      <c r="O98" s="3" t="str">
        <f>CONTROLE_DIARIO!O99</f>
        <v>Neudo</v>
      </c>
      <c r="P98" s="51" t="str">
        <f>CONTROLE_DIARIO!P99</f>
        <v>yyyy0514-Loja Asa Norte-4013</v>
      </c>
      <c r="Q98" s="6">
        <f t="shared" si="12"/>
        <v>0.3</v>
      </c>
      <c r="R98" s="54" t="str">
        <f t="shared" si="13"/>
        <v>FORA APP</v>
      </c>
      <c r="S98" s="3" t="str">
        <f t="shared" si="14"/>
        <v>mai/yy</v>
      </c>
      <c r="T98" s="3">
        <f t="shared" si="15"/>
        <v>20</v>
      </c>
      <c r="U98" s="3">
        <f t="shared" si="16"/>
        <v>2026</v>
      </c>
      <c r="V98" s="6">
        <f t="shared" si="17"/>
        <v>0.3</v>
      </c>
      <c r="W98" s="3" t="str">
        <f t="shared" si="18"/>
        <v>CRÍTICO</v>
      </c>
    </row>
    <row r="99" spans="1:23" x14ac:dyDescent="0.25">
      <c r="A99" s="2">
        <f>CONTROLE_DIARIO!A100</f>
        <v>46156</v>
      </c>
      <c r="B99" s="51" t="str">
        <f>CONTROLE_DIARIO!B100</f>
        <v>Loja Asa Norte</v>
      </c>
      <c r="C99" s="3">
        <f>CONTROLE_DIARIO!C100</f>
        <v>4014</v>
      </c>
      <c r="D99" s="3" t="str">
        <f>CONTROLE_DIARIO!D100</f>
        <v>J. Alessandro</v>
      </c>
      <c r="E99" s="3" t="str">
        <f>CONTROLE_DIARIO!E100</f>
        <v>Entrega Total</v>
      </c>
      <c r="F99" s="3" t="str">
        <f>CONTROLE_DIARIO!F100</f>
        <v>NÃO</v>
      </c>
      <c r="G99" s="3" t="str">
        <f>CONTROLE_DIARIO!G100</f>
        <v>NÃO</v>
      </c>
      <c r="H99" s="3" t="str">
        <f>CONTROLE_DIARIO!H100</f>
        <v>NÃO</v>
      </c>
      <c r="I99" s="3" t="str">
        <f>CONTROLE_DIARIO!I100</f>
        <v>SIM</v>
      </c>
      <c r="J99" s="3" t="str">
        <f>CONTROLE_DIARIO!J100</f>
        <v>NÃO</v>
      </c>
      <c r="K99" s="3" t="str">
        <f>CONTROLE_DIARIO!K100</f>
        <v>NOK</v>
      </c>
      <c r="L99" s="51" t="str">
        <f>CONTROLE_DIARIO!L100</f>
        <v>Outro</v>
      </c>
      <c r="M99" s="51" t="str">
        <f>CONTROLE_DIARIO!M100</f>
        <v>Manifesto não entregue pelo app</v>
      </c>
      <c r="N99" s="3" t="str">
        <f>CONTROLE_DIARIO!N100</f>
        <v>Qualidade</v>
      </c>
      <c r="O99" s="3" t="str">
        <f>CONTROLE_DIARIO!O100</f>
        <v>Neudo</v>
      </c>
      <c r="P99" s="51" t="str">
        <f>CONTROLE_DIARIO!P100</f>
        <v>yyyy0514-Loja Asa Norte-4014</v>
      </c>
      <c r="Q99" s="6">
        <f t="shared" si="12"/>
        <v>0.3</v>
      </c>
      <c r="R99" s="54" t="str">
        <f t="shared" si="13"/>
        <v>FORA APP</v>
      </c>
      <c r="S99" s="3" t="str">
        <f t="shared" si="14"/>
        <v>mai/yy</v>
      </c>
      <c r="T99" s="3">
        <f t="shared" si="15"/>
        <v>20</v>
      </c>
      <c r="U99" s="3">
        <f t="shared" si="16"/>
        <v>2026</v>
      </c>
      <c r="V99" s="6">
        <f t="shared" si="17"/>
        <v>0.3</v>
      </c>
      <c r="W99" s="3" t="str">
        <f t="shared" si="18"/>
        <v>CRÍTICO</v>
      </c>
    </row>
    <row r="100" spans="1:23" x14ac:dyDescent="0.25">
      <c r="A100" s="2">
        <f>CONTROLE_DIARIO!A101</f>
        <v>46156</v>
      </c>
      <c r="B100" s="51" t="str">
        <f>CONTROLE_DIARIO!B101</f>
        <v>Loja ADE</v>
      </c>
      <c r="C100" s="3">
        <f>CONTROLE_DIARIO!C101</f>
        <v>4015</v>
      </c>
      <c r="D100" s="3" t="str">
        <f>CONTROLE_DIARIO!D101</f>
        <v>João Lucas</v>
      </c>
      <c r="E100" s="3" t="str">
        <f>CONTROLE_DIARIO!E101</f>
        <v>Entrega Total</v>
      </c>
      <c r="F100" s="3" t="str">
        <f>CONTROLE_DIARIO!F101</f>
        <v>SIM</v>
      </c>
      <c r="G100" s="3" t="str">
        <f>CONTROLE_DIARIO!G101</f>
        <v>SIM</v>
      </c>
      <c r="H100" s="3" t="str">
        <f>CONTROLE_DIARIO!H101</f>
        <v>SIM</v>
      </c>
      <c r="I100" s="3" t="str">
        <f>CONTROLE_DIARIO!I101</f>
        <v>SIM</v>
      </c>
      <c r="J100" s="3" t="str">
        <f>CONTROLE_DIARIO!J101</f>
        <v>SIM</v>
      </c>
      <c r="K100" s="3" t="str">
        <f>CONTROLE_DIARIO!K101</f>
        <v>OK</v>
      </c>
      <c r="L100" s="51" t="str">
        <f>CONTROLE_DIARIO!L101</f>
        <v>Sem foto fachada</v>
      </c>
      <c r="M100" s="51">
        <f>CONTROLE_DIARIO!M101</f>
        <v>0</v>
      </c>
      <c r="N100" s="3" t="str">
        <f>CONTROLE_DIARIO!N101</f>
        <v>Qualidade</v>
      </c>
      <c r="O100" s="3" t="str">
        <f>CONTROLE_DIARIO!O101</f>
        <v>Danilo</v>
      </c>
      <c r="P100" s="51" t="str">
        <f>CONTROLE_DIARIO!P101</f>
        <v>yyyy0514-Loja ADE-4015</v>
      </c>
      <c r="Q100" s="6">
        <f t="shared" si="12"/>
        <v>1</v>
      </c>
      <c r="R100" s="54" t="str">
        <f t="shared" si="13"/>
        <v>OK</v>
      </c>
      <c r="S100" s="3" t="str">
        <f t="shared" si="14"/>
        <v>mai/yy</v>
      </c>
      <c r="T100" s="3">
        <f t="shared" si="15"/>
        <v>20</v>
      </c>
      <c r="U100" s="3">
        <f t="shared" si="16"/>
        <v>2026</v>
      </c>
      <c r="V100" s="6">
        <f t="shared" si="17"/>
        <v>1</v>
      </c>
      <c r="W100" s="3" t="str">
        <f t="shared" si="18"/>
        <v>OK</v>
      </c>
    </row>
    <row r="101" spans="1:23" x14ac:dyDescent="0.25">
      <c r="A101" s="2">
        <f>CONTROLE_DIARIO!A102</f>
        <v>46156</v>
      </c>
      <c r="B101" s="51" t="str">
        <f>CONTROLE_DIARIO!B102</f>
        <v>Loja Asa Norte</v>
      </c>
      <c r="C101" s="3">
        <f>CONTROLE_DIARIO!C102</f>
        <v>4016</v>
      </c>
      <c r="D101" s="3" t="str">
        <f>CONTROLE_DIARIO!D102</f>
        <v>J. Alessandro</v>
      </c>
      <c r="E101" s="3" t="str">
        <f>CONTROLE_DIARIO!E102</f>
        <v>Entrega Total</v>
      </c>
      <c r="F101" s="3" t="str">
        <f>CONTROLE_DIARIO!F102</f>
        <v>NÃO</v>
      </c>
      <c r="G101" s="3" t="str">
        <f>CONTROLE_DIARIO!G102</f>
        <v>NÃO</v>
      </c>
      <c r="H101" s="3" t="str">
        <f>CONTROLE_DIARIO!H102</f>
        <v>NÃO</v>
      </c>
      <c r="I101" s="3" t="str">
        <f>CONTROLE_DIARIO!I102</f>
        <v>SIM</v>
      </c>
      <c r="J101" s="3" t="str">
        <f>CONTROLE_DIARIO!J102</f>
        <v>NÃO</v>
      </c>
      <c r="K101" s="3" t="str">
        <f>CONTROLE_DIARIO!K102</f>
        <v>NOK</v>
      </c>
      <c r="L101" s="51" t="str">
        <f>CONTROLE_DIARIO!L102</f>
        <v>Outro</v>
      </c>
      <c r="M101" s="51" t="str">
        <f>CONTROLE_DIARIO!M102</f>
        <v>Manifesto não entregue pelo app</v>
      </c>
      <c r="N101" s="3" t="str">
        <f>CONTROLE_DIARIO!N102</f>
        <v>Qualidade</v>
      </c>
      <c r="O101" s="3" t="str">
        <f>CONTROLE_DIARIO!O102</f>
        <v>Neudo</v>
      </c>
      <c r="P101" s="51" t="str">
        <f>CONTROLE_DIARIO!P102</f>
        <v>yyyy0514-Loja Asa Norte-4016</v>
      </c>
      <c r="Q101" s="6">
        <f t="shared" si="12"/>
        <v>0.3</v>
      </c>
      <c r="R101" s="54" t="str">
        <f t="shared" si="13"/>
        <v>FORA APP</v>
      </c>
      <c r="S101" s="3" t="str">
        <f t="shared" si="14"/>
        <v>mai/yy</v>
      </c>
      <c r="T101" s="3">
        <f t="shared" si="15"/>
        <v>20</v>
      </c>
      <c r="U101" s="3">
        <f t="shared" si="16"/>
        <v>2026</v>
      </c>
      <c r="V101" s="6">
        <f t="shared" si="17"/>
        <v>0.3</v>
      </c>
      <c r="W101" s="3" t="str">
        <f t="shared" si="18"/>
        <v>CRÍTICO</v>
      </c>
    </row>
    <row r="102" spans="1:23" x14ac:dyDescent="0.25">
      <c r="A102" s="2">
        <f>CONTROLE_DIARIO!A103</f>
        <v>46156</v>
      </c>
      <c r="B102" s="51" t="str">
        <f>CONTROLE_DIARIO!B103</f>
        <v>Loja Pistão</v>
      </c>
      <c r="C102" s="3">
        <f>CONTROLE_DIARIO!C103</f>
        <v>4017</v>
      </c>
      <c r="D102" s="3" t="str">
        <f>CONTROLE_DIARIO!D103</f>
        <v>João Lucas</v>
      </c>
      <c r="E102" s="3" t="str">
        <f>CONTROLE_DIARIO!E103</f>
        <v>Entrega Total</v>
      </c>
      <c r="F102" s="3" t="str">
        <f>CONTROLE_DIARIO!F103</f>
        <v>SIM</v>
      </c>
      <c r="G102" s="3" t="str">
        <f>CONTROLE_DIARIO!G103</f>
        <v>SIM</v>
      </c>
      <c r="H102" s="3" t="str">
        <f>CONTROLE_DIARIO!H103</f>
        <v>SIM</v>
      </c>
      <c r="I102" s="3" t="str">
        <f>CONTROLE_DIARIO!I103</f>
        <v>SIM</v>
      </c>
      <c r="J102" s="3" t="str">
        <f>CONTROLE_DIARIO!J103</f>
        <v>SIM</v>
      </c>
      <c r="K102" s="3" t="str">
        <f>CONTROLE_DIARIO!K103</f>
        <v>OK</v>
      </c>
      <c r="L102" s="51" t="str">
        <f>CONTROLE_DIARIO!L103</f>
        <v>OK</v>
      </c>
      <c r="M102" s="51">
        <f>CONTROLE_DIARIO!M103</f>
        <v>0</v>
      </c>
      <c r="N102" s="3" t="str">
        <f>CONTROLE_DIARIO!N103</f>
        <v>Qualidade</v>
      </c>
      <c r="O102" s="3" t="str">
        <f>CONTROLE_DIARIO!O103</f>
        <v>Cinthya</v>
      </c>
      <c r="P102" s="51" t="str">
        <f>CONTROLE_DIARIO!P103</f>
        <v>yyyy0514-Loja Pistão-4017</v>
      </c>
      <c r="Q102" s="6">
        <f t="shared" si="12"/>
        <v>1</v>
      </c>
      <c r="R102" s="54" t="str">
        <f t="shared" si="13"/>
        <v>OK</v>
      </c>
      <c r="S102" s="3" t="str">
        <f t="shared" si="14"/>
        <v>mai/yy</v>
      </c>
      <c r="T102" s="3">
        <f t="shared" si="15"/>
        <v>20</v>
      </c>
      <c r="U102" s="3">
        <f t="shared" si="16"/>
        <v>2026</v>
      </c>
      <c r="V102" s="6">
        <f t="shared" si="17"/>
        <v>1</v>
      </c>
      <c r="W102" s="3" t="str">
        <f t="shared" si="18"/>
        <v>OK</v>
      </c>
    </row>
    <row r="103" spans="1:23" x14ac:dyDescent="0.25">
      <c r="A103" s="2">
        <f>CONTROLE_DIARIO!A104</f>
        <v>46156</v>
      </c>
      <c r="B103" s="51" t="str">
        <f>CONTROLE_DIARIO!B104</f>
        <v>Loja Pistão</v>
      </c>
      <c r="C103" s="3">
        <f>CONTROLE_DIARIO!C104</f>
        <v>4018</v>
      </c>
      <c r="D103" s="3" t="str">
        <f>CONTROLE_DIARIO!D104</f>
        <v>João Lucas</v>
      </c>
      <c r="E103" s="3" t="str">
        <f>CONTROLE_DIARIO!E104</f>
        <v>Entrega Total</v>
      </c>
      <c r="F103" s="3" t="str">
        <f>CONTROLE_DIARIO!F104</f>
        <v>SIM</v>
      </c>
      <c r="G103" s="3" t="str">
        <f>CONTROLE_DIARIO!G104</f>
        <v>SIM</v>
      </c>
      <c r="H103" s="3" t="str">
        <f>CONTROLE_DIARIO!H104</f>
        <v>SIM</v>
      </c>
      <c r="I103" s="3" t="str">
        <f>CONTROLE_DIARIO!I104</f>
        <v>SIM</v>
      </c>
      <c r="J103" s="3" t="str">
        <f>CONTROLE_DIARIO!J104</f>
        <v>SIM</v>
      </c>
      <c r="K103" s="3" t="str">
        <f>CONTROLE_DIARIO!K104</f>
        <v>OK</v>
      </c>
      <c r="L103" s="51" t="str">
        <f>CONTROLE_DIARIO!L104</f>
        <v>OK</v>
      </c>
      <c r="M103" s="51">
        <f>CONTROLE_DIARIO!M104</f>
        <v>0</v>
      </c>
      <c r="N103" s="3" t="str">
        <f>CONTROLE_DIARIO!N104</f>
        <v>Qualidade</v>
      </c>
      <c r="O103" s="3" t="str">
        <f>CONTROLE_DIARIO!O104</f>
        <v>Cinthya</v>
      </c>
      <c r="P103" s="51" t="str">
        <f>CONTROLE_DIARIO!P104</f>
        <v>yyyy0514-Loja Pistão-4018</v>
      </c>
      <c r="Q103" s="6">
        <f t="shared" si="12"/>
        <v>1</v>
      </c>
      <c r="R103" s="54" t="str">
        <f t="shared" si="13"/>
        <v>OK</v>
      </c>
      <c r="S103" s="3" t="str">
        <f t="shared" si="14"/>
        <v>mai/yy</v>
      </c>
      <c r="T103" s="3">
        <f t="shared" si="15"/>
        <v>20</v>
      </c>
      <c r="U103" s="3">
        <f t="shared" si="16"/>
        <v>2026</v>
      </c>
      <c r="V103" s="6">
        <f t="shared" si="17"/>
        <v>1</v>
      </c>
      <c r="W103" s="3" t="str">
        <f t="shared" si="18"/>
        <v>OK</v>
      </c>
    </row>
    <row r="104" spans="1:23" x14ac:dyDescent="0.25">
      <c r="A104" s="2">
        <f>CONTROLE_DIARIO!A105</f>
        <v>46156</v>
      </c>
      <c r="B104" s="51" t="str">
        <f>CONTROLE_DIARIO!B105</f>
        <v>Loja Asa Norte</v>
      </c>
      <c r="C104" s="3">
        <f>CONTROLE_DIARIO!C105</f>
        <v>4019</v>
      </c>
      <c r="D104" s="3" t="str">
        <f>CONTROLE_DIARIO!D105</f>
        <v>J. Alessandro</v>
      </c>
      <c r="E104" s="3" t="str">
        <f>CONTROLE_DIARIO!E105</f>
        <v>Cancelado</v>
      </c>
      <c r="F104" s="3">
        <f>CONTROLE_DIARIO!F105</f>
        <v>0</v>
      </c>
      <c r="G104" s="3">
        <f>CONTROLE_DIARIO!G105</f>
        <v>0</v>
      </c>
      <c r="H104" s="3">
        <f>CONTROLE_DIARIO!H105</f>
        <v>0</v>
      </c>
      <c r="I104" s="3">
        <f>CONTROLE_DIARIO!I105</f>
        <v>0</v>
      </c>
      <c r="J104" s="3" t="str">
        <f>CONTROLE_DIARIO!J105</f>
        <v xml:space="preserve"> </v>
      </c>
      <c r="K104" s="3" t="str">
        <f>CONTROLE_DIARIO!K105</f>
        <v>NOK</v>
      </c>
      <c r="L104" s="51" t="str">
        <f>CONTROLE_DIARIO!L105</f>
        <v>Manifesto cancelado</v>
      </c>
      <c r="M104" s="51">
        <f>CONTROLE_DIARIO!M105</f>
        <v>0</v>
      </c>
      <c r="N104" s="3" t="str">
        <f>CONTROLE_DIARIO!N105</f>
        <v>Qualidade</v>
      </c>
      <c r="O104" s="3" t="str">
        <f>CONTROLE_DIARIO!O105</f>
        <v>Neudo</v>
      </c>
      <c r="P104" s="51" t="str">
        <f>CONTROLE_DIARIO!P105</f>
        <v>yyyy0514-Loja Asa Norte-4019</v>
      </c>
      <c r="Q104" s="6">
        <f t="shared" si="12"/>
        <v>0</v>
      </c>
      <c r="R104" s="54" t="str">
        <f t="shared" si="13"/>
        <v>Manifesto Cancelado</v>
      </c>
      <c r="S104" s="3" t="str">
        <f t="shared" si="14"/>
        <v>mai/yy</v>
      </c>
      <c r="T104" s="3">
        <f t="shared" si="15"/>
        <v>20</v>
      </c>
      <c r="U104" s="3">
        <f t="shared" si="16"/>
        <v>2026</v>
      </c>
      <c r="V104" s="6">
        <f t="shared" si="17"/>
        <v>0</v>
      </c>
      <c r="W104" s="3" t="str">
        <f t="shared" si="18"/>
        <v>CRÍTICO</v>
      </c>
    </row>
    <row r="105" spans="1:23" x14ac:dyDescent="0.25">
      <c r="A105" s="2">
        <f>CONTROLE_DIARIO!A106</f>
        <v>46156</v>
      </c>
      <c r="B105" s="51" t="str">
        <f>CONTROLE_DIARIO!B106</f>
        <v>Loja Pistão</v>
      </c>
      <c r="C105" s="3">
        <f>CONTROLE_DIARIO!C106</f>
        <v>4020</v>
      </c>
      <c r="D105" s="3" t="str">
        <f>CONTROLE_DIARIO!D106</f>
        <v>João Lucas</v>
      </c>
      <c r="E105" s="3" t="str">
        <f>CONTROLE_DIARIO!E106</f>
        <v>Entrega Total</v>
      </c>
      <c r="F105" s="3" t="str">
        <f>CONTROLE_DIARIO!F106</f>
        <v>SIM</v>
      </c>
      <c r="G105" s="3" t="str">
        <f>CONTROLE_DIARIO!G106</f>
        <v>SIM</v>
      </c>
      <c r="H105" s="3" t="str">
        <f>CONTROLE_DIARIO!H106</f>
        <v>SIM</v>
      </c>
      <c r="I105" s="3" t="str">
        <f>CONTROLE_DIARIO!I106</f>
        <v>SIM</v>
      </c>
      <c r="J105" s="3" t="str">
        <f>CONTROLE_DIARIO!J106</f>
        <v>SIM</v>
      </c>
      <c r="K105" s="3" t="str">
        <f>CONTROLE_DIARIO!K106</f>
        <v>OK</v>
      </c>
      <c r="L105" s="51" t="str">
        <f>CONTROLE_DIARIO!L106</f>
        <v>OK</v>
      </c>
      <c r="M105" s="51">
        <f>CONTROLE_DIARIO!M106</f>
        <v>0</v>
      </c>
      <c r="N105" s="3" t="str">
        <f>CONTROLE_DIARIO!N106</f>
        <v>Qualidade</v>
      </c>
      <c r="O105" s="3" t="str">
        <f>CONTROLE_DIARIO!O106</f>
        <v>Cinthya</v>
      </c>
      <c r="P105" s="51" t="str">
        <f>CONTROLE_DIARIO!P106</f>
        <v>yyyy0514-Loja Pistão-4020</v>
      </c>
      <c r="Q105" s="6">
        <f t="shared" si="12"/>
        <v>1</v>
      </c>
      <c r="R105" s="54" t="str">
        <f t="shared" si="13"/>
        <v>OK</v>
      </c>
      <c r="S105" s="3" t="str">
        <f t="shared" si="14"/>
        <v>mai/yy</v>
      </c>
      <c r="T105" s="3">
        <f t="shared" si="15"/>
        <v>20</v>
      </c>
      <c r="U105" s="3">
        <f t="shared" si="16"/>
        <v>2026</v>
      </c>
      <c r="V105" s="6">
        <f t="shared" si="17"/>
        <v>1</v>
      </c>
      <c r="W105" s="3" t="str">
        <f t="shared" si="18"/>
        <v>OK</v>
      </c>
    </row>
    <row r="106" spans="1:23" x14ac:dyDescent="0.25">
      <c r="A106" s="2">
        <f>CONTROLE_DIARIO!A107</f>
        <v>46156</v>
      </c>
      <c r="B106" s="51" t="str">
        <f>CONTROLE_DIARIO!B107</f>
        <v>Loja Asa Norte</v>
      </c>
      <c r="C106" s="3">
        <f>CONTROLE_DIARIO!C107</f>
        <v>4022</v>
      </c>
      <c r="D106" s="3" t="str">
        <f>CONTROLE_DIARIO!D107</f>
        <v>J. Alessandro</v>
      </c>
      <c r="E106" s="3" t="str">
        <f>CONTROLE_DIARIO!E107</f>
        <v>Cancelado</v>
      </c>
      <c r="F106" s="3">
        <f>CONTROLE_DIARIO!F107</f>
        <v>0</v>
      </c>
      <c r="G106" s="3">
        <f>CONTROLE_DIARIO!G107</f>
        <v>0</v>
      </c>
      <c r="H106" s="3">
        <f>CONTROLE_DIARIO!H107</f>
        <v>0</v>
      </c>
      <c r="I106" s="3">
        <f>CONTROLE_DIARIO!I107</f>
        <v>0</v>
      </c>
      <c r="J106" s="3" t="str">
        <f>CONTROLE_DIARIO!J107</f>
        <v xml:space="preserve"> </v>
      </c>
      <c r="K106" s="3" t="str">
        <f>CONTROLE_DIARIO!K107</f>
        <v>NOK</v>
      </c>
      <c r="L106" s="51" t="str">
        <f>CONTROLE_DIARIO!L107</f>
        <v>Manifesto cancelado</v>
      </c>
      <c r="M106" s="51">
        <f>CONTROLE_DIARIO!M107</f>
        <v>0</v>
      </c>
      <c r="N106" s="3" t="str">
        <f>CONTROLE_DIARIO!N107</f>
        <v>Qualidade</v>
      </c>
      <c r="O106" s="3" t="str">
        <f>CONTROLE_DIARIO!O107</f>
        <v>Neudo</v>
      </c>
      <c r="P106" s="51" t="str">
        <f>CONTROLE_DIARIO!P107</f>
        <v>yyyy0514-Loja Asa Norte-4022</v>
      </c>
      <c r="Q106" s="6">
        <f t="shared" si="12"/>
        <v>0</v>
      </c>
      <c r="R106" s="54" t="str">
        <f t="shared" si="13"/>
        <v>Manifesto Cancelado</v>
      </c>
      <c r="S106" s="3" t="str">
        <f t="shared" si="14"/>
        <v>mai/yy</v>
      </c>
      <c r="T106" s="3">
        <f t="shared" si="15"/>
        <v>20</v>
      </c>
      <c r="U106" s="3">
        <f t="shared" si="16"/>
        <v>2026</v>
      </c>
      <c r="V106" s="6">
        <f t="shared" si="17"/>
        <v>0</v>
      </c>
      <c r="W106" s="3" t="str">
        <f t="shared" si="18"/>
        <v>CRÍTICO</v>
      </c>
    </row>
    <row r="107" spans="1:23" x14ac:dyDescent="0.25">
      <c r="A107" s="2">
        <f>CONTROLE_DIARIO!A108</f>
        <v>46156</v>
      </c>
      <c r="B107" s="51" t="str">
        <f>CONTROLE_DIARIO!B108</f>
        <v>Loja Asa Norte</v>
      </c>
      <c r="C107" s="3">
        <f>CONTROLE_DIARIO!C108</f>
        <v>4023</v>
      </c>
      <c r="D107" s="3" t="str">
        <f>CONTROLE_DIARIO!D108</f>
        <v>J. Alessandro</v>
      </c>
      <c r="E107" s="3" t="str">
        <f>CONTROLE_DIARIO!E108</f>
        <v>Cancelado</v>
      </c>
      <c r="F107" s="3">
        <f>CONTROLE_DIARIO!F108</f>
        <v>0</v>
      </c>
      <c r="G107" s="3">
        <f>CONTROLE_DIARIO!G108</f>
        <v>0</v>
      </c>
      <c r="H107" s="3">
        <f>CONTROLE_DIARIO!H108</f>
        <v>0</v>
      </c>
      <c r="I107" s="3">
        <f>CONTROLE_DIARIO!I108</f>
        <v>0</v>
      </c>
      <c r="J107" s="3" t="str">
        <f>CONTROLE_DIARIO!J108</f>
        <v xml:space="preserve"> </v>
      </c>
      <c r="K107" s="3" t="str">
        <f>CONTROLE_DIARIO!K108</f>
        <v>NOK</v>
      </c>
      <c r="L107" s="51" t="str">
        <f>CONTROLE_DIARIO!L108</f>
        <v>Manifesto cancelado</v>
      </c>
      <c r="M107" s="51">
        <f>CONTROLE_DIARIO!M108</f>
        <v>0</v>
      </c>
      <c r="N107" s="3" t="str">
        <f>CONTROLE_DIARIO!N108</f>
        <v>Qualidade</v>
      </c>
      <c r="O107" s="3" t="str">
        <f>CONTROLE_DIARIO!O108</f>
        <v>Neudo</v>
      </c>
      <c r="P107" s="51" t="str">
        <f>CONTROLE_DIARIO!P108</f>
        <v>yyyy0514-Loja Asa Norte-4023</v>
      </c>
      <c r="Q107" s="6">
        <f t="shared" si="12"/>
        <v>0</v>
      </c>
      <c r="R107" s="54" t="str">
        <f t="shared" si="13"/>
        <v>Manifesto Cancelado</v>
      </c>
      <c r="S107" s="3" t="str">
        <f t="shared" si="14"/>
        <v>mai/yy</v>
      </c>
      <c r="T107" s="3">
        <f t="shared" si="15"/>
        <v>20</v>
      </c>
      <c r="U107" s="3">
        <f t="shared" si="16"/>
        <v>2026</v>
      </c>
      <c r="V107" s="6">
        <f t="shared" si="17"/>
        <v>0</v>
      </c>
      <c r="W107" s="3" t="str">
        <f t="shared" si="18"/>
        <v>CRÍTICO</v>
      </c>
    </row>
    <row r="108" spans="1:23" x14ac:dyDescent="0.25">
      <c r="A108" s="2">
        <f>CONTROLE_DIARIO!A109</f>
        <v>46156</v>
      </c>
      <c r="B108" s="51" t="str">
        <f>CONTROLE_DIARIO!B109</f>
        <v>Loja Pistão</v>
      </c>
      <c r="C108" s="3">
        <f>CONTROLE_DIARIO!C109</f>
        <v>4025</v>
      </c>
      <c r="D108" s="3" t="str">
        <f>CONTROLE_DIARIO!D109</f>
        <v>João Lucas</v>
      </c>
      <c r="E108" s="3" t="str">
        <f>CONTROLE_DIARIO!E109</f>
        <v>Entrega Total</v>
      </c>
      <c r="F108" s="3" t="str">
        <f>CONTROLE_DIARIO!F109</f>
        <v>SIM</v>
      </c>
      <c r="G108" s="3" t="str">
        <f>CONTROLE_DIARIO!G109</f>
        <v>SIM</v>
      </c>
      <c r="H108" s="3" t="str">
        <f>CONTROLE_DIARIO!H109</f>
        <v>SIM</v>
      </c>
      <c r="I108" s="3" t="str">
        <f>CONTROLE_DIARIO!I109</f>
        <v>SIM</v>
      </c>
      <c r="J108" s="3" t="str">
        <f>CONTROLE_DIARIO!J109</f>
        <v>SIM</v>
      </c>
      <c r="K108" s="3" t="str">
        <f>CONTROLE_DIARIO!K109</f>
        <v>OK</v>
      </c>
      <c r="L108" s="51" t="str">
        <f>CONTROLE_DIARIO!L109</f>
        <v>OK</v>
      </c>
      <c r="M108" s="51">
        <f>CONTROLE_DIARIO!M109</f>
        <v>0</v>
      </c>
      <c r="N108" s="3" t="str">
        <f>CONTROLE_DIARIO!N109</f>
        <v>Qualidade</v>
      </c>
      <c r="O108" s="3" t="str">
        <f>CONTROLE_DIARIO!O109</f>
        <v>Cinthya</v>
      </c>
      <c r="P108" s="51" t="str">
        <f>CONTROLE_DIARIO!P109</f>
        <v>yyyy0514-Loja Pistão-4025</v>
      </c>
      <c r="Q108" s="6">
        <f t="shared" si="12"/>
        <v>1</v>
      </c>
      <c r="R108" s="54" t="str">
        <f t="shared" si="13"/>
        <v>OK</v>
      </c>
      <c r="S108" s="3" t="str">
        <f t="shared" si="14"/>
        <v>mai/yy</v>
      </c>
      <c r="T108" s="3">
        <f t="shared" si="15"/>
        <v>20</v>
      </c>
      <c r="U108" s="3">
        <f t="shared" si="16"/>
        <v>2026</v>
      </c>
      <c r="V108" s="6">
        <f t="shared" si="17"/>
        <v>1</v>
      </c>
      <c r="W108" s="3" t="str">
        <f t="shared" si="18"/>
        <v>OK</v>
      </c>
    </row>
    <row r="109" spans="1:23" x14ac:dyDescent="0.25">
      <c r="A109" s="2">
        <f>CONTROLE_DIARIO!A110</f>
        <v>46156</v>
      </c>
      <c r="B109" s="51" t="str">
        <f>CONTROLE_DIARIO!B110</f>
        <v>Loja Pistão</v>
      </c>
      <c r="C109" s="3">
        <f>CONTROLE_DIARIO!C110</f>
        <v>4026</v>
      </c>
      <c r="D109" s="3" t="str">
        <f>CONTROLE_DIARIO!D110</f>
        <v>João Lucas</v>
      </c>
      <c r="E109" s="3" t="str">
        <f>CONTROLE_DIARIO!E110</f>
        <v>Entrega Total</v>
      </c>
      <c r="F109" s="3" t="str">
        <f>CONTROLE_DIARIO!F110</f>
        <v>SIM</v>
      </c>
      <c r="G109" s="3" t="str">
        <f>CONTROLE_DIARIO!G110</f>
        <v>SIM</v>
      </c>
      <c r="H109" s="3" t="str">
        <f>CONTROLE_DIARIO!H110</f>
        <v>SIM</v>
      </c>
      <c r="I109" s="3" t="str">
        <f>CONTROLE_DIARIO!I110</f>
        <v>SIM</v>
      </c>
      <c r="J109" s="3" t="str">
        <f>CONTROLE_DIARIO!J110</f>
        <v>SIM</v>
      </c>
      <c r="K109" s="3" t="str">
        <f>CONTROLE_DIARIO!K110</f>
        <v>OK</v>
      </c>
      <c r="L109" s="51" t="str">
        <f>CONTROLE_DIARIO!L110</f>
        <v>OK</v>
      </c>
      <c r="M109" s="51">
        <f>CONTROLE_DIARIO!M110</f>
        <v>0</v>
      </c>
      <c r="N109" s="3" t="str">
        <f>CONTROLE_DIARIO!N110</f>
        <v>Qualidade</v>
      </c>
      <c r="O109" s="3" t="str">
        <f>CONTROLE_DIARIO!O110</f>
        <v>Cinthya</v>
      </c>
      <c r="P109" s="51" t="str">
        <f>CONTROLE_DIARIO!P110</f>
        <v>yyyy0514-Loja Pistão-4026</v>
      </c>
      <c r="Q109" s="6">
        <f t="shared" si="12"/>
        <v>1</v>
      </c>
      <c r="R109" s="54" t="str">
        <f t="shared" si="13"/>
        <v>OK</v>
      </c>
      <c r="S109" s="3" t="str">
        <f t="shared" si="14"/>
        <v>mai/yy</v>
      </c>
      <c r="T109" s="3">
        <f t="shared" si="15"/>
        <v>20</v>
      </c>
      <c r="U109" s="3">
        <f t="shared" si="16"/>
        <v>2026</v>
      </c>
      <c r="V109" s="6">
        <f t="shared" si="17"/>
        <v>1</v>
      </c>
      <c r="W109" s="3" t="str">
        <f t="shared" si="18"/>
        <v>OK</v>
      </c>
    </row>
    <row r="110" spans="1:23" x14ac:dyDescent="0.25">
      <c r="A110" s="2">
        <f>CONTROLE_DIARIO!A111</f>
        <v>46156</v>
      </c>
      <c r="B110" s="51" t="str">
        <f>CONTROLE_DIARIO!B111</f>
        <v>Loja Pistão</v>
      </c>
      <c r="C110" s="3">
        <f>CONTROLE_DIARIO!C111</f>
        <v>4027</v>
      </c>
      <c r="D110" s="3" t="str">
        <f>CONTROLE_DIARIO!D111</f>
        <v>João Lucas</v>
      </c>
      <c r="E110" s="3" t="str">
        <f>CONTROLE_DIARIO!E111</f>
        <v>Entrega Total</v>
      </c>
      <c r="F110" s="3" t="str">
        <f>CONTROLE_DIARIO!F111</f>
        <v>SIM</v>
      </c>
      <c r="G110" s="3" t="str">
        <f>CONTROLE_DIARIO!G111</f>
        <v>SIM</v>
      </c>
      <c r="H110" s="3" t="str">
        <f>CONTROLE_DIARIO!H111</f>
        <v>SIM</v>
      </c>
      <c r="I110" s="3" t="str">
        <f>CONTROLE_DIARIO!I111</f>
        <v>SIM</v>
      </c>
      <c r="J110" s="3" t="str">
        <f>CONTROLE_DIARIO!J111</f>
        <v>SIM</v>
      </c>
      <c r="K110" s="3" t="str">
        <f>CONTROLE_DIARIO!K111</f>
        <v>OK</v>
      </c>
      <c r="L110" s="51" t="str">
        <f>CONTROLE_DIARIO!L111</f>
        <v>OK</v>
      </c>
      <c r="M110" s="51">
        <f>CONTROLE_DIARIO!M111</f>
        <v>0</v>
      </c>
      <c r="N110" s="3" t="str">
        <f>CONTROLE_DIARIO!N111</f>
        <v>Qualidade</v>
      </c>
      <c r="O110" s="3" t="str">
        <f>CONTROLE_DIARIO!O111</f>
        <v>Cinthya</v>
      </c>
      <c r="P110" s="51" t="str">
        <f>CONTROLE_DIARIO!P111</f>
        <v>yyyy0514-Loja Pistão-4027</v>
      </c>
      <c r="Q110" s="6">
        <f t="shared" si="12"/>
        <v>1</v>
      </c>
      <c r="R110" s="54" t="str">
        <f t="shared" si="13"/>
        <v>OK</v>
      </c>
      <c r="S110" s="3" t="str">
        <f t="shared" si="14"/>
        <v>mai/yy</v>
      </c>
      <c r="T110" s="3">
        <f t="shared" si="15"/>
        <v>20</v>
      </c>
      <c r="U110" s="3">
        <f t="shared" si="16"/>
        <v>2026</v>
      </c>
      <c r="V110" s="6">
        <f t="shared" si="17"/>
        <v>1</v>
      </c>
      <c r="W110" s="3" t="str">
        <f t="shared" si="18"/>
        <v>OK</v>
      </c>
    </row>
    <row r="111" spans="1:23" x14ac:dyDescent="0.25">
      <c r="A111" s="2">
        <f>CONTROLE_DIARIO!A112</f>
        <v>46156</v>
      </c>
      <c r="B111" s="51" t="str">
        <f>CONTROLE_DIARIO!B112</f>
        <v>Loja ADE</v>
      </c>
      <c r="C111" s="3">
        <f>CONTROLE_DIARIO!C112</f>
        <v>4028</v>
      </c>
      <c r="D111" s="3" t="str">
        <f>CONTROLE_DIARIO!D112</f>
        <v>João Lucas</v>
      </c>
      <c r="E111" s="3" t="str">
        <f>CONTROLE_DIARIO!E112</f>
        <v>Entrega Total</v>
      </c>
      <c r="F111" s="3" t="str">
        <f>CONTROLE_DIARIO!F112</f>
        <v>SIM</v>
      </c>
      <c r="G111" s="3" t="str">
        <f>CONTROLE_DIARIO!G112</f>
        <v>SIM</v>
      </c>
      <c r="H111" s="3" t="str">
        <f>CONTROLE_DIARIO!H112</f>
        <v>SIM</v>
      </c>
      <c r="I111" s="3" t="str">
        <f>CONTROLE_DIARIO!I112</f>
        <v>SIM</v>
      </c>
      <c r="J111" s="3" t="str">
        <f>CONTROLE_DIARIO!J112</f>
        <v>SIM</v>
      </c>
      <c r="K111" s="3" t="str">
        <f>CONTROLE_DIARIO!K112</f>
        <v>OK</v>
      </c>
      <c r="L111" s="51" t="str">
        <f>CONTROLE_DIARIO!L112</f>
        <v>OK</v>
      </c>
      <c r="M111" s="51">
        <f>CONTROLE_DIARIO!M112</f>
        <v>0</v>
      </c>
      <c r="N111" s="3" t="str">
        <f>CONTROLE_DIARIO!N112</f>
        <v>Qualidade</v>
      </c>
      <c r="O111" s="3" t="str">
        <f>CONTROLE_DIARIO!O112</f>
        <v>Danilo</v>
      </c>
      <c r="P111" s="51" t="str">
        <f>CONTROLE_DIARIO!P112</f>
        <v>yyyy0514-Loja ADE-4028</v>
      </c>
      <c r="Q111" s="6">
        <f t="shared" si="12"/>
        <v>1</v>
      </c>
      <c r="R111" s="54" t="str">
        <f t="shared" si="13"/>
        <v>OK</v>
      </c>
      <c r="S111" s="3" t="str">
        <f t="shared" si="14"/>
        <v>mai/yy</v>
      </c>
      <c r="T111" s="3">
        <f t="shared" si="15"/>
        <v>20</v>
      </c>
      <c r="U111" s="3">
        <f t="shared" si="16"/>
        <v>2026</v>
      </c>
      <c r="V111" s="6">
        <f t="shared" si="17"/>
        <v>1</v>
      </c>
      <c r="W111" s="3" t="str">
        <f t="shared" si="18"/>
        <v>OK</v>
      </c>
    </row>
    <row r="112" spans="1:23" x14ac:dyDescent="0.25">
      <c r="A112" s="2">
        <f>CONTROLE_DIARIO!A113</f>
        <v>46156</v>
      </c>
      <c r="B112" s="51" t="str">
        <f>CONTROLE_DIARIO!B113</f>
        <v>Loja ADE</v>
      </c>
      <c r="C112" s="3">
        <f>CONTROLE_DIARIO!C113</f>
        <v>4029</v>
      </c>
      <c r="D112" s="3" t="str">
        <f>CONTROLE_DIARIO!D113</f>
        <v>João Lucas</v>
      </c>
      <c r="E112" s="3" t="str">
        <f>CONTROLE_DIARIO!E113</f>
        <v>Cancelado</v>
      </c>
      <c r="F112" s="3">
        <f>CONTROLE_DIARIO!F113</f>
        <v>0</v>
      </c>
      <c r="G112" s="3">
        <f>CONTROLE_DIARIO!G113</f>
        <v>0</v>
      </c>
      <c r="H112" s="3">
        <f>CONTROLE_DIARIO!H113</f>
        <v>0</v>
      </c>
      <c r="I112" s="3">
        <f>CONTROLE_DIARIO!I113</f>
        <v>0</v>
      </c>
      <c r="J112" s="3" t="str">
        <f>CONTROLE_DIARIO!J113</f>
        <v xml:space="preserve"> </v>
      </c>
      <c r="K112" s="3" t="str">
        <f>CONTROLE_DIARIO!K113</f>
        <v>NOK</v>
      </c>
      <c r="L112" s="51" t="str">
        <f>CONTROLE_DIARIO!L113</f>
        <v>Manifesto cancelado</v>
      </c>
      <c r="M112" s="51">
        <f>CONTROLE_DIARIO!M113</f>
        <v>0</v>
      </c>
      <c r="N112" s="3" t="str">
        <f>CONTROLE_DIARIO!N113</f>
        <v>Qualidade</v>
      </c>
      <c r="O112" s="3" t="str">
        <f>CONTROLE_DIARIO!O113</f>
        <v>Danilo</v>
      </c>
      <c r="P112" s="51" t="str">
        <f>CONTROLE_DIARIO!P113</f>
        <v>yyyy0514-Loja ADE-4029</v>
      </c>
      <c r="Q112" s="6">
        <f t="shared" si="12"/>
        <v>0</v>
      </c>
      <c r="R112" s="54" t="str">
        <f t="shared" si="13"/>
        <v>Manifesto Cancelado</v>
      </c>
      <c r="S112" s="3" t="str">
        <f t="shared" si="14"/>
        <v>mai/yy</v>
      </c>
      <c r="T112" s="3">
        <f t="shared" si="15"/>
        <v>20</v>
      </c>
      <c r="U112" s="3">
        <f t="shared" si="16"/>
        <v>2026</v>
      </c>
      <c r="V112" s="6">
        <f t="shared" si="17"/>
        <v>0</v>
      </c>
      <c r="W112" s="3" t="str">
        <f t="shared" si="18"/>
        <v>CRÍTICO</v>
      </c>
    </row>
    <row r="113" spans="1:23" x14ac:dyDescent="0.25">
      <c r="A113" s="2">
        <f>CONTROLE_DIARIO!A114</f>
        <v>46156</v>
      </c>
      <c r="B113" s="51" t="str">
        <f>CONTROLE_DIARIO!B114</f>
        <v>Loja Asa Norte</v>
      </c>
      <c r="C113" s="3">
        <f>CONTROLE_DIARIO!C114</f>
        <v>4030</v>
      </c>
      <c r="D113" s="3" t="str">
        <f>CONTROLE_DIARIO!D114</f>
        <v>J. Alessandro</v>
      </c>
      <c r="E113" s="3" t="str">
        <f>CONTROLE_DIARIO!E114</f>
        <v>Entrega Total</v>
      </c>
      <c r="F113" s="3" t="str">
        <f>CONTROLE_DIARIO!F114</f>
        <v>NÃO</v>
      </c>
      <c r="G113" s="3" t="str">
        <f>CONTROLE_DIARIO!G114</f>
        <v>NÃO</v>
      </c>
      <c r="H113" s="3" t="str">
        <f>CONTROLE_DIARIO!H114</f>
        <v>NÃO</v>
      </c>
      <c r="I113" s="3" t="str">
        <f>CONTROLE_DIARIO!I114</f>
        <v>SIM</v>
      </c>
      <c r="J113" s="3" t="str">
        <f>CONTROLE_DIARIO!J114</f>
        <v>NÃO</v>
      </c>
      <c r="K113" s="3" t="str">
        <f>CONTROLE_DIARIO!K114</f>
        <v>NOK</v>
      </c>
      <c r="L113" s="51" t="str">
        <f>CONTROLE_DIARIO!L114</f>
        <v>Outro</v>
      </c>
      <c r="M113" s="51" t="str">
        <f>CONTROLE_DIARIO!M114</f>
        <v>Manifesto não entregue pelo app</v>
      </c>
      <c r="N113" s="3" t="str">
        <f>CONTROLE_DIARIO!N114</f>
        <v>Qualidade</v>
      </c>
      <c r="O113" s="3" t="str">
        <f>CONTROLE_DIARIO!O114</f>
        <v>Neudo</v>
      </c>
      <c r="P113" s="51" t="str">
        <f>CONTROLE_DIARIO!P114</f>
        <v>yyyy0514-Loja Asa Norte-4030</v>
      </c>
      <c r="Q113" s="6">
        <f t="shared" si="12"/>
        <v>0.3</v>
      </c>
      <c r="R113" s="54" t="str">
        <f t="shared" si="13"/>
        <v>FORA APP</v>
      </c>
      <c r="S113" s="3" t="str">
        <f t="shared" si="14"/>
        <v>mai/yy</v>
      </c>
      <c r="T113" s="3">
        <f t="shared" si="15"/>
        <v>20</v>
      </c>
      <c r="U113" s="3">
        <f t="shared" si="16"/>
        <v>2026</v>
      </c>
      <c r="V113" s="6">
        <f t="shared" si="17"/>
        <v>0.3</v>
      </c>
      <c r="W113" s="3" t="str">
        <f t="shared" si="18"/>
        <v>CRÍTICO</v>
      </c>
    </row>
    <row r="114" spans="1:23" x14ac:dyDescent="0.25">
      <c r="A114" s="2">
        <f>CONTROLE_DIARIO!A115</f>
        <v>46156</v>
      </c>
      <c r="B114" s="51" t="str">
        <f>CONTROLE_DIARIO!B115</f>
        <v>Loja Pistão</v>
      </c>
      <c r="C114" s="3">
        <f>CONTROLE_DIARIO!C115</f>
        <v>4031</v>
      </c>
      <c r="D114" s="3" t="str">
        <f>CONTROLE_DIARIO!D115</f>
        <v>João Lucas</v>
      </c>
      <c r="E114" s="3" t="str">
        <f>CONTROLE_DIARIO!E115</f>
        <v>Entrega Total</v>
      </c>
      <c r="F114" s="3" t="str">
        <f>CONTROLE_DIARIO!F115</f>
        <v>SIM</v>
      </c>
      <c r="G114" s="3" t="str">
        <f>CONTROLE_DIARIO!G115</f>
        <v>SIM</v>
      </c>
      <c r="H114" s="3" t="str">
        <f>CONTROLE_DIARIO!H115</f>
        <v>SIM</v>
      </c>
      <c r="I114" s="3" t="str">
        <f>CONTROLE_DIARIO!I115</f>
        <v>SIM</v>
      </c>
      <c r="J114" s="3" t="str">
        <f>CONTROLE_DIARIO!J115</f>
        <v>SIM</v>
      </c>
      <c r="K114" s="3" t="str">
        <f>CONTROLE_DIARIO!K115</f>
        <v>OK</v>
      </c>
      <c r="L114" s="51" t="str">
        <f>CONTROLE_DIARIO!L115</f>
        <v>Sem foto fachada</v>
      </c>
      <c r="M114" s="51">
        <f>CONTROLE_DIARIO!M115</f>
        <v>0</v>
      </c>
      <c r="N114" s="3" t="str">
        <f>CONTROLE_DIARIO!N115</f>
        <v>Qualidade</v>
      </c>
      <c r="O114" s="3" t="str">
        <f>CONTROLE_DIARIO!O115</f>
        <v>Cinthya</v>
      </c>
      <c r="P114" s="51" t="str">
        <f>CONTROLE_DIARIO!P115</f>
        <v>yyyy0514-Loja Pistão-4031</v>
      </c>
      <c r="Q114" s="6">
        <f t="shared" si="12"/>
        <v>1</v>
      </c>
      <c r="R114" s="54" t="str">
        <f t="shared" si="13"/>
        <v>OK</v>
      </c>
      <c r="S114" s="3" t="str">
        <f t="shared" si="14"/>
        <v>mai/yy</v>
      </c>
      <c r="T114" s="3">
        <f t="shared" si="15"/>
        <v>20</v>
      </c>
      <c r="U114" s="3">
        <f t="shared" si="16"/>
        <v>2026</v>
      </c>
      <c r="V114" s="6">
        <f t="shared" si="17"/>
        <v>1</v>
      </c>
      <c r="W114" s="3" t="str">
        <f t="shared" si="18"/>
        <v>OK</v>
      </c>
    </row>
    <row r="115" spans="1:23" x14ac:dyDescent="0.25">
      <c r="A115" s="2">
        <f>CONTROLE_DIARIO!A116</f>
        <v>46156</v>
      </c>
      <c r="B115" s="51" t="str">
        <f>CONTROLE_DIARIO!B116</f>
        <v>Loja Asa Norte</v>
      </c>
      <c r="C115" s="3">
        <f>CONTROLE_DIARIO!C116</f>
        <v>4032</v>
      </c>
      <c r="D115" s="3" t="str">
        <f>CONTROLE_DIARIO!D116</f>
        <v>J. Alessandro</v>
      </c>
      <c r="E115" s="3" t="str">
        <f>CONTROLE_DIARIO!E116</f>
        <v>Cancelado</v>
      </c>
      <c r="F115" s="3">
        <f>CONTROLE_DIARIO!F116</f>
        <v>0</v>
      </c>
      <c r="G115" s="3">
        <f>CONTROLE_DIARIO!G116</f>
        <v>0</v>
      </c>
      <c r="H115" s="3">
        <f>CONTROLE_DIARIO!H116</f>
        <v>0</v>
      </c>
      <c r="I115" s="3">
        <f>CONTROLE_DIARIO!I116</f>
        <v>0</v>
      </c>
      <c r="J115" s="3" t="str">
        <f>CONTROLE_DIARIO!J116</f>
        <v xml:space="preserve"> </v>
      </c>
      <c r="K115" s="3" t="str">
        <f>CONTROLE_DIARIO!K116</f>
        <v>NOK</v>
      </c>
      <c r="L115" s="51" t="str">
        <f>CONTROLE_DIARIO!L116</f>
        <v>Manifesto cancelado</v>
      </c>
      <c r="M115" s="51">
        <f>CONTROLE_DIARIO!M116</f>
        <v>0</v>
      </c>
      <c r="N115" s="3" t="str">
        <f>CONTROLE_DIARIO!N116</f>
        <v>Qualidade</v>
      </c>
      <c r="O115" s="3" t="str">
        <f>CONTROLE_DIARIO!O116</f>
        <v>Neudo</v>
      </c>
      <c r="P115" s="51" t="str">
        <f>CONTROLE_DIARIO!P116</f>
        <v>yyyy0514-Loja Asa Norte-4032</v>
      </c>
      <c r="Q115" s="6">
        <f t="shared" si="12"/>
        <v>0</v>
      </c>
      <c r="R115" s="54" t="str">
        <f t="shared" si="13"/>
        <v>Manifesto Cancelado</v>
      </c>
      <c r="S115" s="3" t="str">
        <f t="shared" si="14"/>
        <v>mai/yy</v>
      </c>
      <c r="T115" s="3">
        <f t="shared" si="15"/>
        <v>20</v>
      </c>
      <c r="U115" s="3">
        <f t="shared" si="16"/>
        <v>2026</v>
      </c>
      <c r="V115" s="6">
        <f t="shared" si="17"/>
        <v>0</v>
      </c>
      <c r="W115" s="3" t="str">
        <f t="shared" si="18"/>
        <v>CRÍTICO</v>
      </c>
    </row>
    <row r="116" spans="1:23" x14ac:dyDescent="0.25">
      <c r="A116" s="2">
        <f>CONTROLE_DIARIO!A117</f>
        <v>46156</v>
      </c>
      <c r="B116" s="51" t="str">
        <f>CONTROLE_DIARIO!B117</f>
        <v>Loja Pistão</v>
      </c>
      <c r="C116" s="3">
        <f>CONTROLE_DIARIO!C117</f>
        <v>4033</v>
      </c>
      <c r="D116" s="3" t="str">
        <f>CONTROLE_DIARIO!D117</f>
        <v>João Lucas</v>
      </c>
      <c r="E116" s="3" t="str">
        <f>CONTROLE_DIARIO!E117</f>
        <v>Entrega Total</v>
      </c>
      <c r="F116" s="3" t="str">
        <f>CONTROLE_DIARIO!F117</f>
        <v>SIM</v>
      </c>
      <c r="G116" s="3" t="str">
        <f>CONTROLE_DIARIO!G117</f>
        <v>SIM</v>
      </c>
      <c r="H116" s="3" t="str">
        <f>CONTROLE_DIARIO!H117</f>
        <v>SIM</v>
      </c>
      <c r="I116" s="3" t="str">
        <f>CONTROLE_DIARIO!I117</f>
        <v>SIM</v>
      </c>
      <c r="J116" s="3" t="str">
        <f>CONTROLE_DIARIO!J117</f>
        <v>SIM</v>
      </c>
      <c r="K116" s="3" t="str">
        <f>CONTROLE_DIARIO!K117</f>
        <v>OK</v>
      </c>
      <c r="L116" s="51" t="str">
        <f>CONTROLE_DIARIO!L117</f>
        <v>OK</v>
      </c>
      <c r="M116" s="51">
        <f>CONTROLE_DIARIO!M117</f>
        <v>0</v>
      </c>
      <c r="N116" s="3" t="str">
        <f>CONTROLE_DIARIO!N117</f>
        <v>Qualidade</v>
      </c>
      <c r="O116" s="3" t="str">
        <f>CONTROLE_DIARIO!O117</f>
        <v>Cinthya</v>
      </c>
      <c r="P116" s="51" t="str">
        <f>CONTROLE_DIARIO!P117</f>
        <v>yyyy0514-Loja Pistão-4033</v>
      </c>
      <c r="Q116" s="6">
        <f t="shared" si="12"/>
        <v>1</v>
      </c>
      <c r="R116" s="54" t="str">
        <f t="shared" si="13"/>
        <v>OK</v>
      </c>
      <c r="S116" s="3" t="str">
        <f t="shared" si="14"/>
        <v>mai/yy</v>
      </c>
      <c r="T116" s="3">
        <f t="shared" si="15"/>
        <v>20</v>
      </c>
      <c r="U116" s="3">
        <f t="shared" si="16"/>
        <v>2026</v>
      </c>
      <c r="V116" s="6">
        <f t="shared" si="17"/>
        <v>1</v>
      </c>
      <c r="W116" s="3" t="str">
        <f t="shared" si="18"/>
        <v>OK</v>
      </c>
    </row>
    <row r="117" spans="1:23" x14ac:dyDescent="0.25">
      <c r="A117" s="2">
        <f>CONTROLE_DIARIO!A118</f>
        <v>46156</v>
      </c>
      <c r="B117" s="51" t="str">
        <f>CONTROLE_DIARIO!B118</f>
        <v>Loja Asa Norte</v>
      </c>
      <c r="C117" s="3">
        <f>CONTROLE_DIARIO!C118</f>
        <v>4034</v>
      </c>
      <c r="D117" s="3" t="str">
        <f>CONTROLE_DIARIO!D118</f>
        <v>J. Alessandro</v>
      </c>
      <c r="E117" s="3" t="str">
        <f>CONTROLE_DIARIO!E118</f>
        <v>Cancelado</v>
      </c>
      <c r="F117" s="3">
        <f>CONTROLE_DIARIO!F118</f>
        <v>0</v>
      </c>
      <c r="G117" s="3">
        <f>CONTROLE_DIARIO!G118</f>
        <v>0</v>
      </c>
      <c r="H117" s="3">
        <f>CONTROLE_DIARIO!H118</f>
        <v>0</v>
      </c>
      <c r="I117" s="3">
        <f>CONTROLE_DIARIO!I118</f>
        <v>0</v>
      </c>
      <c r="J117" s="3" t="str">
        <f>CONTROLE_DIARIO!J118</f>
        <v xml:space="preserve"> </v>
      </c>
      <c r="K117" s="3" t="str">
        <f>CONTROLE_DIARIO!K118</f>
        <v>NOK</v>
      </c>
      <c r="L117" s="51" t="str">
        <f>CONTROLE_DIARIO!L118</f>
        <v>Manifesto cancelado</v>
      </c>
      <c r="M117" s="51">
        <f>CONTROLE_DIARIO!M118</f>
        <v>0</v>
      </c>
      <c r="N117" s="3" t="str">
        <f>CONTROLE_DIARIO!N118</f>
        <v>Qualidade</v>
      </c>
      <c r="O117" s="3" t="str">
        <f>CONTROLE_DIARIO!O118</f>
        <v>Neudo</v>
      </c>
      <c r="P117" s="51" t="str">
        <f>CONTROLE_DIARIO!P118</f>
        <v>yyyy0514-Loja Asa Norte-4034</v>
      </c>
      <c r="Q117" s="6">
        <f t="shared" si="12"/>
        <v>0</v>
      </c>
      <c r="R117" s="54" t="str">
        <f t="shared" si="13"/>
        <v>Manifesto Cancelado</v>
      </c>
      <c r="S117" s="3" t="str">
        <f t="shared" si="14"/>
        <v>mai/yy</v>
      </c>
      <c r="T117" s="3">
        <f t="shared" si="15"/>
        <v>20</v>
      </c>
      <c r="U117" s="3">
        <f t="shared" si="16"/>
        <v>2026</v>
      </c>
      <c r="V117" s="6">
        <f t="shared" si="17"/>
        <v>0</v>
      </c>
      <c r="W117" s="3" t="str">
        <f t="shared" si="18"/>
        <v>CRÍTICO</v>
      </c>
    </row>
    <row r="118" spans="1:23" x14ac:dyDescent="0.25">
      <c r="A118" s="2">
        <f>CONTROLE_DIARIO!A119</f>
        <v>46156</v>
      </c>
      <c r="B118" s="51" t="str">
        <f>CONTROLE_DIARIO!B119</f>
        <v>Loja Asa Norte</v>
      </c>
      <c r="C118" s="3">
        <f>CONTROLE_DIARIO!C119</f>
        <v>4035</v>
      </c>
      <c r="D118" s="3" t="str">
        <f>CONTROLE_DIARIO!D119</f>
        <v>J. Alessandro</v>
      </c>
      <c r="E118" s="3" t="str">
        <f>CONTROLE_DIARIO!E119</f>
        <v>Cancelado</v>
      </c>
      <c r="F118" s="3">
        <f>CONTROLE_DIARIO!F119</f>
        <v>0</v>
      </c>
      <c r="G118" s="3">
        <f>CONTROLE_DIARIO!G119</f>
        <v>0</v>
      </c>
      <c r="H118" s="3">
        <f>CONTROLE_DIARIO!H119</f>
        <v>0</v>
      </c>
      <c r="I118" s="3">
        <f>CONTROLE_DIARIO!I119</f>
        <v>0</v>
      </c>
      <c r="J118" s="3" t="str">
        <f>CONTROLE_DIARIO!J119</f>
        <v xml:space="preserve"> </v>
      </c>
      <c r="K118" s="3" t="str">
        <f>CONTROLE_DIARIO!K119</f>
        <v>NOK</v>
      </c>
      <c r="L118" s="51" t="str">
        <f>CONTROLE_DIARIO!L119</f>
        <v>Manifesto cancelado</v>
      </c>
      <c r="M118" s="51">
        <f>CONTROLE_DIARIO!M119</f>
        <v>0</v>
      </c>
      <c r="N118" s="3" t="str">
        <f>CONTROLE_DIARIO!N119</f>
        <v>Qualidade</v>
      </c>
      <c r="O118" s="3" t="str">
        <f>CONTROLE_DIARIO!O119</f>
        <v>Neudo</v>
      </c>
      <c r="P118" s="51" t="str">
        <f>CONTROLE_DIARIO!P119</f>
        <v>yyyy0514-Loja Asa Norte-4035</v>
      </c>
      <c r="Q118" s="6">
        <f t="shared" si="12"/>
        <v>0</v>
      </c>
      <c r="R118" s="54" t="str">
        <f t="shared" si="13"/>
        <v>Manifesto Cancelado</v>
      </c>
      <c r="S118" s="3" t="str">
        <f t="shared" si="14"/>
        <v>mai/yy</v>
      </c>
      <c r="T118" s="3">
        <f t="shared" si="15"/>
        <v>20</v>
      </c>
      <c r="U118" s="3">
        <f t="shared" si="16"/>
        <v>2026</v>
      </c>
      <c r="V118" s="6">
        <f t="shared" si="17"/>
        <v>0</v>
      </c>
      <c r="W118" s="3" t="str">
        <f t="shared" si="18"/>
        <v>CRÍTICO</v>
      </c>
    </row>
    <row r="119" spans="1:23" x14ac:dyDescent="0.25">
      <c r="A119" s="2">
        <f>CONTROLE_DIARIO!A120</f>
        <v>46157</v>
      </c>
      <c r="B119" s="51" t="str">
        <f>CONTROLE_DIARIO!B120</f>
        <v>Loja ADE</v>
      </c>
      <c r="C119" s="3">
        <f>CONTROLE_DIARIO!C120</f>
        <v>4036</v>
      </c>
      <c r="D119" s="3" t="str">
        <f>CONTROLE_DIARIO!D120</f>
        <v>João Lucas</v>
      </c>
      <c r="E119" s="3" t="str">
        <f>CONTROLE_DIARIO!E120</f>
        <v>Entrega Total</v>
      </c>
      <c r="F119" s="3" t="str">
        <f>CONTROLE_DIARIO!F120</f>
        <v>SIM</v>
      </c>
      <c r="G119" s="3" t="str">
        <f>CONTROLE_DIARIO!G120</f>
        <v>SIM</v>
      </c>
      <c r="H119" s="3" t="str">
        <f>CONTROLE_DIARIO!H120</f>
        <v>SIM</v>
      </c>
      <c r="I119" s="3" t="str">
        <f>CONTROLE_DIARIO!I120</f>
        <v>SIM</v>
      </c>
      <c r="J119" s="3" t="str">
        <f>CONTROLE_DIARIO!J120</f>
        <v>SIM</v>
      </c>
      <c r="K119" s="3" t="str">
        <f>CONTROLE_DIARIO!K120</f>
        <v>OK</v>
      </c>
      <c r="L119" s="51" t="str">
        <f>CONTROLE_DIARIO!L120</f>
        <v>OK</v>
      </c>
      <c r="M119" s="51">
        <f>CONTROLE_DIARIO!M120</f>
        <v>0</v>
      </c>
      <c r="N119" s="3" t="str">
        <f>CONTROLE_DIARIO!N120</f>
        <v>Qualidade</v>
      </c>
      <c r="O119" s="3" t="str">
        <f>CONTROLE_DIARIO!O120</f>
        <v>Danilo</v>
      </c>
      <c r="P119" s="51" t="str">
        <f>CONTROLE_DIARIO!P120</f>
        <v>yyyy0515-Loja ADE-4036</v>
      </c>
      <c r="Q119" s="6">
        <f t="shared" si="12"/>
        <v>1</v>
      </c>
      <c r="R119" s="54" t="str">
        <f t="shared" si="13"/>
        <v>OK</v>
      </c>
      <c r="S119" s="3" t="str">
        <f t="shared" si="14"/>
        <v>mai/yy</v>
      </c>
      <c r="T119" s="3">
        <f t="shared" si="15"/>
        <v>20</v>
      </c>
      <c r="U119" s="3">
        <f t="shared" si="16"/>
        <v>2026</v>
      </c>
      <c r="V119" s="6">
        <f t="shared" si="17"/>
        <v>1</v>
      </c>
      <c r="W119" s="3" t="str">
        <f t="shared" si="18"/>
        <v>OK</v>
      </c>
    </row>
    <row r="120" spans="1:23" x14ac:dyDescent="0.25">
      <c r="A120" s="2">
        <f>CONTROLE_DIARIO!A121</f>
        <v>46157</v>
      </c>
      <c r="B120" s="51" t="str">
        <f>CONTROLE_DIARIO!B121</f>
        <v>Loja Pistão</v>
      </c>
      <c r="C120" s="3">
        <f>CONTROLE_DIARIO!C121</f>
        <v>4037</v>
      </c>
      <c r="D120" s="3" t="str">
        <f>CONTROLE_DIARIO!D121</f>
        <v>João Lucas</v>
      </c>
      <c r="E120" s="3" t="str">
        <f>CONTROLE_DIARIO!E121</f>
        <v>Entrega Total</v>
      </c>
      <c r="F120" s="3" t="str">
        <f>CONTROLE_DIARIO!F121</f>
        <v>SIM</v>
      </c>
      <c r="G120" s="3" t="str">
        <f>CONTROLE_DIARIO!G121</f>
        <v>SIM</v>
      </c>
      <c r="H120" s="3" t="str">
        <f>CONTROLE_DIARIO!H121</f>
        <v>SIM</v>
      </c>
      <c r="I120" s="3" t="str">
        <f>CONTROLE_DIARIO!I121</f>
        <v>SIM</v>
      </c>
      <c r="J120" s="3" t="str">
        <f>CONTROLE_DIARIO!J121</f>
        <v>SIM</v>
      </c>
      <c r="K120" s="3" t="str">
        <f>CONTROLE_DIARIO!K121</f>
        <v>OK</v>
      </c>
      <c r="L120" s="51" t="str">
        <f>CONTROLE_DIARIO!L121</f>
        <v>OK</v>
      </c>
      <c r="M120" s="51">
        <f>CONTROLE_DIARIO!M121</f>
        <v>0</v>
      </c>
      <c r="N120" s="3" t="str">
        <f>CONTROLE_DIARIO!N121</f>
        <v>Qualidade</v>
      </c>
      <c r="O120" s="3" t="str">
        <f>CONTROLE_DIARIO!O121</f>
        <v>Cinthya</v>
      </c>
      <c r="P120" s="51" t="str">
        <f>CONTROLE_DIARIO!P121</f>
        <v>yyyy0515-Loja Pistão-4037</v>
      </c>
      <c r="Q120" s="6">
        <f t="shared" si="12"/>
        <v>1</v>
      </c>
      <c r="R120" s="54" t="str">
        <f t="shared" si="13"/>
        <v>OK</v>
      </c>
      <c r="S120" s="3" t="str">
        <f t="shared" si="14"/>
        <v>mai/yy</v>
      </c>
      <c r="T120" s="3">
        <f t="shared" si="15"/>
        <v>20</v>
      </c>
      <c r="U120" s="3">
        <f t="shared" si="16"/>
        <v>2026</v>
      </c>
      <c r="V120" s="6">
        <f t="shared" si="17"/>
        <v>1</v>
      </c>
      <c r="W120" s="3" t="str">
        <f t="shared" si="18"/>
        <v>OK</v>
      </c>
    </row>
    <row r="121" spans="1:23" x14ac:dyDescent="0.25">
      <c r="A121" s="2">
        <f>CONTROLE_DIARIO!A122</f>
        <v>46157</v>
      </c>
      <c r="B121" s="51" t="str">
        <f>CONTROLE_DIARIO!B122</f>
        <v>Loja Pistão</v>
      </c>
      <c r="C121" s="3">
        <f>CONTROLE_DIARIO!C122</f>
        <v>4038</v>
      </c>
      <c r="D121" s="3" t="str">
        <f>CONTROLE_DIARIO!D122</f>
        <v>João Lucas</v>
      </c>
      <c r="E121" s="3" t="str">
        <f>CONTROLE_DIARIO!E122</f>
        <v>Entrega Total</v>
      </c>
      <c r="F121" s="3" t="str">
        <f>CONTROLE_DIARIO!F122</f>
        <v>SIM</v>
      </c>
      <c r="G121" s="3" t="str">
        <f>CONTROLE_DIARIO!G122</f>
        <v>SIM</v>
      </c>
      <c r="H121" s="3" t="str">
        <f>CONTROLE_DIARIO!H122</f>
        <v>SIM</v>
      </c>
      <c r="I121" s="3" t="str">
        <f>CONTROLE_DIARIO!I122</f>
        <v>SIM</v>
      </c>
      <c r="J121" s="3" t="str">
        <f>CONTROLE_DIARIO!J122</f>
        <v>SIM</v>
      </c>
      <c r="K121" s="3" t="str">
        <f>CONTROLE_DIARIO!K122</f>
        <v>OK</v>
      </c>
      <c r="L121" s="51" t="str">
        <f>CONTROLE_DIARIO!L122</f>
        <v>Sem foto fachada</v>
      </c>
      <c r="M121" s="51">
        <f>CONTROLE_DIARIO!M122</f>
        <v>0</v>
      </c>
      <c r="N121" s="3" t="str">
        <f>CONTROLE_DIARIO!N122</f>
        <v>Qualidade</v>
      </c>
      <c r="O121" s="3" t="str">
        <f>CONTROLE_DIARIO!O122</f>
        <v>Cinthya</v>
      </c>
      <c r="P121" s="51" t="str">
        <f>CONTROLE_DIARIO!P122</f>
        <v>yyyy0515-Loja Pistão-4038</v>
      </c>
      <c r="Q121" s="6">
        <f t="shared" si="12"/>
        <v>1</v>
      </c>
      <c r="R121" s="54" t="str">
        <f t="shared" si="13"/>
        <v>OK</v>
      </c>
      <c r="S121" s="3" t="str">
        <f t="shared" si="14"/>
        <v>mai/yy</v>
      </c>
      <c r="T121" s="3">
        <f t="shared" si="15"/>
        <v>20</v>
      </c>
      <c r="U121" s="3">
        <f t="shared" si="16"/>
        <v>2026</v>
      </c>
      <c r="V121" s="6">
        <f t="shared" si="17"/>
        <v>1</v>
      </c>
      <c r="W121" s="3" t="str">
        <f t="shared" si="18"/>
        <v>OK</v>
      </c>
    </row>
    <row r="122" spans="1:23" x14ac:dyDescent="0.25">
      <c r="A122" s="2">
        <f>CONTROLE_DIARIO!A123</f>
        <v>46157</v>
      </c>
      <c r="B122" s="51" t="str">
        <f>CONTROLE_DIARIO!B123</f>
        <v>Loja Asa Norte</v>
      </c>
      <c r="C122" s="3">
        <f>CONTROLE_DIARIO!C123</f>
        <v>4039</v>
      </c>
      <c r="D122" s="3" t="str">
        <f>CONTROLE_DIARIO!D123</f>
        <v>J. Alessandro</v>
      </c>
      <c r="E122" s="3" t="str">
        <f>CONTROLE_DIARIO!E123</f>
        <v>Cancelado</v>
      </c>
      <c r="F122" s="3">
        <f>CONTROLE_DIARIO!F123</f>
        <v>0</v>
      </c>
      <c r="G122" s="3">
        <f>CONTROLE_DIARIO!G123</f>
        <v>0</v>
      </c>
      <c r="H122" s="3">
        <f>CONTROLE_DIARIO!H123</f>
        <v>0</v>
      </c>
      <c r="I122" s="3">
        <f>CONTROLE_DIARIO!I123</f>
        <v>0</v>
      </c>
      <c r="J122" s="3" t="str">
        <f>CONTROLE_DIARIO!J123</f>
        <v xml:space="preserve"> </v>
      </c>
      <c r="K122" s="3" t="str">
        <f>CONTROLE_DIARIO!K123</f>
        <v>NOK</v>
      </c>
      <c r="L122" s="51" t="str">
        <f>CONTROLE_DIARIO!L123</f>
        <v>Manifesto cancelado</v>
      </c>
      <c r="M122" s="51">
        <f>CONTROLE_DIARIO!M123</f>
        <v>0</v>
      </c>
      <c r="N122" s="3" t="str">
        <f>CONTROLE_DIARIO!N123</f>
        <v>Qualidade</v>
      </c>
      <c r="O122" s="3" t="str">
        <f>CONTROLE_DIARIO!O123</f>
        <v>Neudo</v>
      </c>
      <c r="P122" s="51" t="str">
        <f>CONTROLE_DIARIO!P123</f>
        <v>yyyy0515-Loja Asa Norte-4039</v>
      </c>
      <c r="Q122" s="6">
        <f t="shared" si="12"/>
        <v>0</v>
      </c>
      <c r="R122" s="54" t="str">
        <f t="shared" si="13"/>
        <v>Manifesto Cancelado</v>
      </c>
      <c r="S122" s="3" t="str">
        <f t="shared" si="14"/>
        <v>mai/yy</v>
      </c>
      <c r="T122" s="3">
        <f t="shared" si="15"/>
        <v>20</v>
      </c>
      <c r="U122" s="3">
        <f t="shared" si="16"/>
        <v>2026</v>
      </c>
      <c r="V122" s="6">
        <f t="shared" si="17"/>
        <v>0</v>
      </c>
      <c r="W122" s="3" t="str">
        <f t="shared" si="18"/>
        <v>CRÍTICO</v>
      </c>
    </row>
    <row r="123" spans="1:23" x14ac:dyDescent="0.25">
      <c r="A123" s="2">
        <f>CONTROLE_DIARIO!A124</f>
        <v>46157</v>
      </c>
      <c r="B123" s="51" t="str">
        <f>CONTROLE_DIARIO!B124</f>
        <v>Loja Pistão</v>
      </c>
      <c r="C123" s="3">
        <f>CONTROLE_DIARIO!C124</f>
        <v>4040</v>
      </c>
      <c r="D123" s="3" t="str">
        <f>CONTROLE_DIARIO!D124</f>
        <v>João Lucas</v>
      </c>
      <c r="E123" s="3" t="str">
        <f>CONTROLE_DIARIO!E124</f>
        <v>Entrega Total</v>
      </c>
      <c r="F123" s="3" t="str">
        <f>CONTROLE_DIARIO!F124</f>
        <v>SIM</v>
      </c>
      <c r="G123" s="3" t="str">
        <f>CONTROLE_DIARIO!G124</f>
        <v>SIM</v>
      </c>
      <c r="H123" s="3" t="str">
        <f>CONTROLE_DIARIO!H124</f>
        <v>SIM</v>
      </c>
      <c r="I123" s="3" t="str">
        <f>CONTROLE_DIARIO!I124</f>
        <v>SIM</v>
      </c>
      <c r="J123" s="3" t="str">
        <f>CONTROLE_DIARIO!J124</f>
        <v>SIM</v>
      </c>
      <c r="K123" s="3" t="str">
        <f>CONTROLE_DIARIO!K124</f>
        <v>OK</v>
      </c>
      <c r="L123" s="51" t="str">
        <f>CONTROLE_DIARIO!L124</f>
        <v>Sem foto fachada</v>
      </c>
      <c r="M123" s="51">
        <f>CONTROLE_DIARIO!M124</f>
        <v>0</v>
      </c>
      <c r="N123" s="3" t="str">
        <f>CONTROLE_DIARIO!N124</f>
        <v>Qualidade</v>
      </c>
      <c r="O123" s="3" t="str">
        <f>CONTROLE_DIARIO!O124</f>
        <v>Cinthya</v>
      </c>
      <c r="P123" s="51" t="str">
        <f>CONTROLE_DIARIO!P124</f>
        <v>yyyy0515-Loja Pistão-4040</v>
      </c>
      <c r="Q123" s="6">
        <f t="shared" si="12"/>
        <v>1</v>
      </c>
      <c r="R123" s="54" t="str">
        <f t="shared" si="13"/>
        <v>OK</v>
      </c>
      <c r="S123" s="3" t="str">
        <f t="shared" si="14"/>
        <v>mai/yy</v>
      </c>
      <c r="T123" s="3">
        <f t="shared" si="15"/>
        <v>20</v>
      </c>
      <c r="U123" s="3">
        <f t="shared" si="16"/>
        <v>2026</v>
      </c>
      <c r="V123" s="6">
        <f t="shared" si="17"/>
        <v>1</v>
      </c>
      <c r="W123" s="3" t="str">
        <f t="shared" si="18"/>
        <v>OK</v>
      </c>
    </row>
    <row r="124" spans="1:23" x14ac:dyDescent="0.25">
      <c r="A124" s="2">
        <f>CONTROLE_DIARIO!A125</f>
        <v>46157</v>
      </c>
      <c r="B124" s="51" t="str">
        <f>CONTROLE_DIARIO!B125</f>
        <v>Loja Pistão</v>
      </c>
      <c r="C124" s="3">
        <f>CONTROLE_DIARIO!C125</f>
        <v>4041</v>
      </c>
      <c r="D124" s="3" t="str">
        <f>CONTROLE_DIARIO!D125</f>
        <v>João Lucas</v>
      </c>
      <c r="E124" s="3" t="str">
        <f>CONTROLE_DIARIO!E125</f>
        <v>Entrega Total</v>
      </c>
      <c r="F124" s="3" t="str">
        <f>CONTROLE_DIARIO!F125</f>
        <v>SIM</v>
      </c>
      <c r="G124" s="3" t="str">
        <f>CONTROLE_DIARIO!G125</f>
        <v>SIM</v>
      </c>
      <c r="H124" s="3" t="str">
        <f>CONTROLE_DIARIO!H125</f>
        <v>SIM</v>
      </c>
      <c r="I124" s="3" t="str">
        <f>CONTROLE_DIARIO!I125</f>
        <v>SIM</v>
      </c>
      <c r="J124" s="3" t="str">
        <f>CONTROLE_DIARIO!J125</f>
        <v>SIM</v>
      </c>
      <c r="K124" s="3" t="str">
        <f>CONTROLE_DIARIO!K125</f>
        <v>OK</v>
      </c>
      <c r="L124" s="51" t="str">
        <f>CONTROLE_DIARIO!L125</f>
        <v>Sem foto fachada</v>
      </c>
      <c r="M124" s="51">
        <f>CONTROLE_DIARIO!M125</f>
        <v>0</v>
      </c>
      <c r="N124" s="3" t="str">
        <f>CONTROLE_DIARIO!N125</f>
        <v>Qualidade</v>
      </c>
      <c r="O124" s="3" t="str">
        <f>CONTROLE_DIARIO!O125</f>
        <v>Cinthya</v>
      </c>
      <c r="P124" s="51" t="str">
        <f>CONTROLE_DIARIO!P125</f>
        <v>yyyy0515-Loja Pistão-4041</v>
      </c>
      <c r="Q124" s="6">
        <f t="shared" si="12"/>
        <v>1</v>
      </c>
      <c r="R124" s="54" t="str">
        <f t="shared" si="13"/>
        <v>OK</v>
      </c>
      <c r="S124" s="3" t="str">
        <f t="shared" si="14"/>
        <v>mai/yy</v>
      </c>
      <c r="T124" s="3">
        <f t="shared" si="15"/>
        <v>20</v>
      </c>
      <c r="U124" s="3">
        <f t="shared" si="16"/>
        <v>2026</v>
      </c>
      <c r="V124" s="6">
        <f t="shared" si="17"/>
        <v>1</v>
      </c>
      <c r="W124" s="3" t="str">
        <f t="shared" si="18"/>
        <v>OK</v>
      </c>
    </row>
    <row r="125" spans="1:23" x14ac:dyDescent="0.25">
      <c r="A125" s="2">
        <f>CONTROLE_DIARIO!A126</f>
        <v>46157</v>
      </c>
      <c r="B125" s="51" t="str">
        <f>CONTROLE_DIARIO!B126</f>
        <v>Loja Pistão</v>
      </c>
      <c r="C125" s="3">
        <f>CONTROLE_DIARIO!C126</f>
        <v>4042</v>
      </c>
      <c r="D125" s="3" t="str">
        <f>CONTROLE_DIARIO!D126</f>
        <v>João Lucas</v>
      </c>
      <c r="E125" s="3" t="str">
        <f>CONTROLE_DIARIO!E126</f>
        <v>Entrega Total</v>
      </c>
      <c r="F125" s="3" t="str">
        <f>CONTROLE_DIARIO!F126</f>
        <v>SIM</v>
      </c>
      <c r="G125" s="3" t="str">
        <f>CONTROLE_DIARIO!G126</f>
        <v>SIM</v>
      </c>
      <c r="H125" s="3" t="str">
        <f>CONTROLE_DIARIO!H126</f>
        <v>SIM</v>
      </c>
      <c r="I125" s="3" t="str">
        <f>CONTROLE_DIARIO!I126</f>
        <v>SIM</v>
      </c>
      <c r="J125" s="3" t="str">
        <f>CONTROLE_DIARIO!J126</f>
        <v>SIM</v>
      </c>
      <c r="K125" s="3" t="str">
        <f>CONTROLE_DIARIO!K126</f>
        <v>OK</v>
      </c>
      <c r="L125" s="51" t="str">
        <f>CONTROLE_DIARIO!L126</f>
        <v>OK</v>
      </c>
      <c r="M125" s="51">
        <f>CONTROLE_DIARIO!M126</f>
        <v>0</v>
      </c>
      <c r="N125" s="3" t="str">
        <f>CONTROLE_DIARIO!N126</f>
        <v>Qualidade</v>
      </c>
      <c r="O125" s="3" t="str">
        <f>CONTROLE_DIARIO!O126</f>
        <v>Cinthya</v>
      </c>
      <c r="P125" s="51" t="str">
        <f>CONTROLE_DIARIO!P126</f>
        <v>yyyy0515-Loja Pistão-4042</v>
      </c>
      <c r="Q125" s="6">
        <f t="shared" si="12"/>
        <v>1</v>
      </c>
      <c r="R125" s="54" t="str">
        <f t="shared" si="13"/>
        <v>OK</v>
      </c>
      <c r="S125" s="3" t="str">
        <f t="shared" si="14"/>
        <v>mai/yy</v>
      </c>
      <c r="T125" s="3">
        <f t="shared" si="15"/>
        <v>20</v>
      </c>
      <c r="U125" s="3">
        <f t="shared" si="16"/>
        <v>2026</v>
      </c>
      <c r="V125" s="6">
        <f t="shared" si="17"/>
        <v>1</v>
      </c>
      <c r="W125" s="3" t="str">
        <f t="shared" si="18"/>
        <v>OK</v>
      </c>
    </row>
    <row r="126" spans="1:23" x14ac:dyDescent="0.25">
      <c r="A126" s="2">
        <f>CONTROLE_DIARIO!A127</f>
        <v>46157</v>
      </c>
      <c r="B126" s="51" t="str">
        <f>CONTROLE_DIARIO!B127</f>
        <v>Loja Pistão</v>
      </c>
      <c r="C126" s="3">
        <f>CONTROLE_DIARIO!C127</f>
        <v>4043</v>
      </c>
      <c r="D126" s="3" t="str">
        <f>CONTROLE_DIARIO!D127</f>
        <v>João Lucas</v>
      </c>
      <c r="E126" s="3" t="str">
        <f>CONTROLE_DIARIO!E127</f>
        <v>Entrega Total</v>
      </c>
      <c r="F126" s="3" t="str">
        <f>CONTROLE_DIARIO!F127</f>
        <v>SIM</v>
      </c>
      <c r="G126" s="3" t="str">
        <f>CONTROLE_DIARIO!G127</f>
        <v>SIM</v>
      </c>
      <c r="H126" s="3" t="str">
        <f>CONTROLE_DIARIO!H127</f>
        <v>SIM</v>
      </c>
      <c r="I126" s="3" t="str">
        <f>CONTROLE_DIARIO!I127</f>
        <v>SIM</v>
      </c>
      <c r="J126" s="3" t="str">
        <f>CONTROLE_DIARIO!J127</f>
        <v>SIM</v>
      </c>
      <c r="K126" s="3" t="str">
        <f>CONTROLE_DIARIO!K127</f>
        <v>OK</v>
      </c>
      <c r="L126" s="51" t="str">
        <f>CONTROLE_DIARIO!L127</f>
        <v>OK</v>
      </c>
      <c r="M126" s="51">
        <f>CONTROLE_DIARIO!M127</f>
        <v>0</v>
      </c>
      <c r="N126" s="3" t="str">
        <f>CONTROLE_DIARIO!N127</f>
        <v>Qualidade</v>
      </c>
      <c r="O126" s="3" t="str">
        <f>CONTROLE_DIARIO!O127</f>
        <v>Cinthya</v>
      </c>
      <c r="P126" s="51" t="str">
        <f>CONTROLE_DIARIO!P127</f>
        <v>yyyy0515-Loja Pistão-4043</v>
      </c>
      <c r="Q126" s="6">
        <f t="shared" si="12"/>
        <v>1</v>
      </c>
      <c r="R126" s="54" t="str">
        <f t="shared" si="13"/>
        <v>OK</v>
      </c>
      <c r="S126" s="3" t="str">
        <f t="shared" si="14"/>
        <v>mai/yy</v>
      </c>
      <c r="T126" s="3">
        <f t="shared" si="15"/>
        <v>20</v>
      </c>
      <c r="U126" s="3">
        <f t="shared" si="16"/>
        <v>2026</v>
      </c>
      <c r="V126" s="6">
        <f t="shared" si="17"/>
        <v>1</v>
      </c>
      <c r="W126" s="3" t="str">
        <f t="shared" si="18"/>
        <v>OK</v>
      </c>
    </row>
    <row r="127" spans="1:23" x14ac:dyDescent="0.25">
      <c r="A127" s="2">
        <f>CONTROLE_DIARIO!A128</f>
        <v>46160</v>
      </c>
      <c r="B127" s="51" t="str">
        <f>CONTROLE_DIARIO!B128</f>
        <v>Loja Pistão</v>
      </c>
      <c r="C127" s="3">
        <f>CONTROLE_DIARIO!C128</f>
        <v>4044</v>
      </c>
      <c r="D127" s="3" t="str">
        <f>CONTROLE_DIARIO!D128</f>
        <v>João Lucas</v>
      </c>
      <c r="E127" s="3" t="str">
        <f>CONTROLE_DIARIO!E128</f>
        <v>Entrega Total</v>
      </c>
      <c r="F127" s="3" t="str">
        <f>CONTROLE_DIARIO!F128</f>
        <v>SIM</v>
      </c>
      <c r="G127" s="3" t="str">
        <f>CONTROLE_DIARIO!G128</f>
        <v>SIM</v>
      </c>
      <c r="H127" s="3" t="str">
        <f>CONTROLE_DIARIO!H128</f>
        <v>SIM</v>
      </c>
      <c r="I127" s="3" t="str">
        <f>CONTROLE_DIARIO!I128</f>
        <v>SIM</v>
      </c>
      <c r="J127" s="3" t="str">
        <f>CONTROLE_DIARIO!J128</f>
        <v>SIM</v>
      </c>
      <c r="K127" s="3" t="str">
        <f>CONTROLE_DIARIO!K128</f>
        <v>OK</v>
      </c>
      <c r="L127" s="51" t="str">
        <f>CONTROLE_DIARIO!L128</f>
        <v>OK</v>
      </c>
      <c r="M127" s="51">
        <f>CONTROLE_DIARIO!M128</f>
        <v>0</v>
      </c>
      <c r="N127" s="3" t="str">
        <f>CONTROLE_DIARIO!N128</f>
        <v>Qualidade</v>
      </c>
      <c r="O127" s="3" t="str">
        <f>CONTROLE_DIARIO!O128</f>
        <v>Cinthya</v>
      </c>
      <c r="P127" s="51" t="str">
        <f>CONTROLE_DIARIO!P128</f>
        <v>yyyy0518-Loja Pistão-4044</v>
      </c>
      <c r="Q127" s="6">
        <f t="shared" si="12"/>
        <v>1</v>
      </c>
      <c r="R127" s="54" t="str">
        <f t="shared" si="13"/>
        <v>OK</v>
      </c>
      <c r="S127" s="3" t="str">
        <f t="shared" si="14"/>
        <v>mai/yy</v>
      </c>
      <c r="T127" s="3">
        <f t="shared" si="15"/>
        <v>21</v>
      </c>
      <c r="U127" s="3">
        <f t="shared" si="16"/>
        <v>2026</v>
      </c>
      <c r="V127" s="6">
        <f t="shared" si="17"/>
        <v>1</v>
      </c>
      <c r="W127" s="3" t="str">
        <f t="shared" si="18"/>
        <v>OK</v>
      </c>
    </row>
    <row r="128" spans="1:23" x14ac:dyDescent="0.25">
      <c r="A128" s="2">
        <f>CONTROLE_DIARIO!A129</f>
        <v>46160</v>
      </c>
      <c r="B128" s="51" t="str">
        <f>CONTROLE_DIARIO!B129</f>
        <v>Loja Asa Norte</v>
      </c>
      <c r="C128" s="3">
        <f>CONTROLE_DIARIO!C129</f>
        <v>4045</v>
      </c>
      <c r="D128" s="3" t="str">
        <f>CONTROLE_DIARIO!D129</f>
        <v>J. Alessandro</v>
      </c>
      <c r="E128" s="3" t="str">
        <f>CONTROLE_DIARIO!E129</f>
        <v>Entrega Total</v>
      </c>
      <c r="F128" s="3" t="str">
        <f>CONTROLE_DIARIO!F129</f>
        <v>NÃO</v>
      </c>
      <c r="G128" s="3" t="str">
        <f>CONTROLE_DIARIO!G129</f>
        <v>NÃO</v>
      </c>
      <c r="H128" s="3" t="str">
        <f>CONTROLE_DIARIO!H129</f>
        <v>NÃO</v>
      </c>
      <c r="I128" s="3" t="str">
        <f>CONTROLE_DIARIO!I129</f>
        <v>SIM</v>
      </c>
      <c r="J128" s="3" t="str">
        <f>CONTROLE_DIARIO!J129</f>
        <v>NÃO</v>
      </c>
      <c r="K128" s="3" t="str">
        <f>CONTROLE_DIARIO!K129</f>
        <v>NOK</v>
      </c>
      <c r="L128" s="51" t="str">
        <f>CONTROLE_DIARIO!L129</f>
        <v>Outro</v>
      </c>
      <c r="M128" s="51" t="str">
        <f>CONTROLE_DIARIO!M129</f>
        <v>Manifesto não entregue pelo app</v>
      </c>
      <c r="N128" s="3" t="str">
        <f>CONTROLE_DIARIO!N129</f>
        <v>Qualidade</v>
      </c>
      <c r="O128" s="3" t="str">
        <f>CONTROLE_DIARIO!O129</f>
        <v>Neudo</v>
      </c>
      <c r="P128" s="51" t="str">
        <f>CONTROLE_DIARIO!P129</f>
        <v>yyyy0518-Loja Asa Norte-4045</v>
      </c>
      <c r="Q128" s="6">
        <f t="shared" si="12"/>
        <v>0.3</v>
      </c>
      <c r="R128" s="54" t="str">
        <f t="shared" si="13"/>
        <v>FORA APP</v>
      </c>
      <c r="S128" s="3" t="str">
        <f t="shared" si="14"/>
        <v>mai/yy</v>
      </c>
      <c r="T128" s="3">
        <f t="shared" si="15"/>
        <v>21</v>
      </c>
      <c r="U128" s="3">
        <f t="shared" si="16"/>
        <v>2026</v>
      </c>
      <c r="V128" s="6">
        <f t="shared" si="17"/>
        <v>0.3</v>
      </c>
      <c r="W128" s="3" t="str">
        <f t="shared" si="18"/>
        <v>CRÍTICO</v>
      </c>
    </row>
    <row r="129" spans="1:23" x14ac:dyDescent="0.25">
      <c r="A129" s="2">
        <f>CONTROLE_DIARIO!A130</f>
        <v>46160</v>
      </c>
      <c r="B129" s="51" t="str">
        <f>CONTROLE_DIARIO!B130</f>
        <v>Loja Asa Norte</v>
      </c>
      <c r="C129" s="3">
        <f>CONTROLE_DIARIO!C130</f>
        <v>4046</v>
      </c>
      <c r="D129" s="3" t="str">
        <f>CONTROLE_DIARIO!D130</f>
        <v>J. Alessandro</v>
      </c>
      <c r="E129" s="3" t="str">
        <f>CONTROLE_DIARIO!E130</f>
        <v>Entrega Total</v>
      </c>
      <c r="F129" s="3" t="str">
        <f>CONTROLE_DIARIO!F130</f>
        <v>NÃO</v>
      </c>
      <c r="G129" s="3" t="str">
        <f>CONTROLE_DIARIO!G130</f>
        <v>NÃO</v>
      </c>
      <c r="H129" s="3" t="str">
        <f>CONTROLE_DIARIO!H130</f>
        <v>NÃO</v>
      </c>
      <c r="I129" s="3" t="str">
        <f>CONTROLE_DIARIO!I130</f>
        <v>SIM</v>
      </c>
      <c r="J129" s="3" t="str">
        <f>CONTROLE_DIARIO!J130</f>
        <v>NÃO</v>
      </c>
      <c r="K129" s="3" t="str">
        <f>CONTROLE_DIARIO!K130</f>
        <v>NOK</v>
      </c>
      <c r="L129" s="51" t="str">
        <f>CONTROLE_DIARIO!L130</f>
        <v>Outro</v>
      </c>
      <c r="M129" s="51" t="str">
        <f>CONTROLE_DIARIO!M130</f>
        <v>Manifesto não entregue pelo app</v>
      </c>
      <c r="N129" s="3" t="str">
        <f>CONTROLE_DIARIO!N130</f>
        <v>Qualidade</v>
      </c>
      <c r="O129" s="3" t="str">
        <f>CONTROLE_DIARIO!O130</f>
        <v>Neudo</v>
      </c>
      <c r="P129" s="51" t="str">
        <f>CONTROLE_DIARIO!P130</f>
        <v>yyyy0518-Loja Asa Norte-4046</v>
      </c>
      <c r="Q129" s="6">
        <f t="shared" si="12"/>
        <v>0.3</v>
      </c>
      <c r="R129" s="54" t="str">
        <f t="shared" si="13"/>
        <v>FORA APP</v>
      </c>
      <c r="S129" s="3" t="str">
        <f t="shared" si="14"/>
        <v>mai/yy</v>
      </c>
      <c r="T129" s="3">
        <f t="shared" si="15"/>
        <v>21</v>
      </c>
      <c r="U129" s="3">
        <f t="shared" si="16"/>
        <v>2026</v>
      </c>
      <c r="V129" s="6">
        <f t="shared" si="17"/>
        <v>0.3</v>
      </c>
      <c r="W129" s="3" t="str">
        <f t="shared" si="18"/>
        <v>CRÍTICO</v>
      </c>
    </row>
    <row r="130" spans="1:23" x14ac:dyDescent="0.25">
      <c r="A130" s="2">
        <f>CONTROLE_DIARIO!A131</f>
        <v>46162</v>
      </c>
      <c r="B130" s="51" t="str">
        <f>CONTROLE_DIARIO!B131</f>
        <v>Loja Asa Norte</v>
      </c>
      <c r="C130" s="3">
        <f>CONTROLE_DIARIO!C131</f>
        <v>4047</v>
      </c>
      <c r="D130" s="3" t="str">
        <f>CONTROLE_DIARIO!D131</f>
        <v>J. Alessandro</v>
      </c>
      <c r="E130" s="3" t="str">
        <f>CONTROLE_DIARIO!E131</f>
        <v>Entrega Total</v>
      </c>
      <c r="F130" s="3" t="str">
        <f>CONTROLE_DIARIO!F131</f>
        <v>NÃO</v>
      </c>
      <c r="G130" s="3" t="str">
        <f>CONTROLE_DIARIO!G131</f>
        <v>NÃO</v>
      </c>
      <c r="H130" s="3" t="str">
        <f>CONTROLE_DIARIO!H131</f>
        <v>NÃO</v>
      </c>
      <c r="I130" s="3" t="str">
        <f>CONTROLE_DIARIO!I131</f>
        <v>SIM</v>
      </c>
      <c r="J130" s="3" t="str">
        <f>CONTROLE_DIARIO!J131</f>
        <v>NÃO</v>
      </c>
      <c r="K130" s="3" t="str">
        <f>CONTROLE_DIARIO!K131</f>
        <v>NOK</v>
      </c>
      <c r="L130" s="51" t="str">
        <f>CONTROLE_DIARIO!L131</f>
        <v>Outro</v>
      </c>
      <c r="M130" s="51" t="str">
        <f>CONTROLE_DIARIO!M131</f>
        <v>Manifesto não entregue pelo app</v>
      </c>
      <c r="N130" s="3" t="str">
        <f>CONTROLE_DIARIO!N131</f>
        <v>Qualidade</v>
      </c>
      <c r="O130" s="3" t="str">
        <f>CONTROLE_DIARIO!O131</f>
        <v>Neudo</v>
      </c>
      <c r="P130" s="51" t="str">
        <f>CONTROLE_DIARIO!P131</f>
        <v>yyyy0520-Loja Asa Norte-4047</v>
      </c>
      <c r="Q130" s="6">
        <f t="shared" si="12"/>
        <v>0.3</v>
      </c>
      <c r="R130" s="54" t="str">
        <f t="shared" si="13"/>
        <v>FORA APP</v>
      </c>
      <c r="S130" s="3" t="str">
        <f t="shared" si="14"/>
        <v>mai/yy</v>
      </c>
      <c r="T130" s="3">
        <f t="shared" si="15"/>
        <v>21</v>
      </c>
      <c r="U130" s="3">
        <f t="shared" si="16"/>
        <v>2026</v>
      </c>
      <c r="V130" s="6">
        <f t="shared" si="17"/>
        <v>0.3</v>
      </c>
      <c r="W130" s="3" t="str">
        <f t="shared" si="18"/>
        <v>CRÍTICO</v>
      </c>
    </row>
    <row r="131" spans="1:23" x14ac:dyDescent="0.25">
      <c r="A131" s="2">
        <f>CONTROLE_DIARIO!A132</f>
        <v>46162</v>
      </c>
      <c r="B131" s="51" t="str">
        <f>CONTROLE_DIARIO!B132</f>
        <v>Loja Asa Norte</v>
      </c>
      <c r="C131" s="3">
        <f>CONTROLE_DIARIO!C132</f>
        <v>4048</v>
      </c>
      <c r="D131" s="3" t="str">
        <f>CONTROLE_DIARIO!D132</f>
        <v>J. Alessandro</v>
      </c>
      <c r="E131" s="3" t="str">
        <f>CONTROLE_DIARIO!E132</f>
        <v>Entrega Total</v>
      </c>
      <c r="F131" s="3" t="str">
        <f>CONTROLE_DIARIO!F132</f>
        <v>NÃO</v>
      </c>
      <c r="G131" s="3" t="str">
        <f>CONTROLE_DIARIO!G132</f>
        <v>NÃO</v>
      </c>
      <c r="H131" s="3" t="str">
        <f>CONTROLE_DIARIO!H132</f>
        <v>NÃO</v>
      </c>
      <c r="I131" s="3" t="str">
        <f>CONTROLE_DIARIO!I132</f>
        <v>SIM</v>
      </c>
      <c r="J131" s="3" t="str">
        <f>CONTROLE_DIARIO!J132</f>
        <v>NÃO</v>
      </c>
      <c r="K131" s="3" t="str">
        <f>CONTROLE_DIARIO!K132</f>
        <v>NOK</v>
      </c>
      <c r="L131" s="51" t="str">
        <f>CONTROLE_DIARIO!L132</f>
        <v>Outro</v>
      </c>
      <c r="M131" s="51" t="str">
        <f>CONTROLE_DIARIO!M132</f>
        <v>Manifesto não entregue pelo app</v>
      </c>
      <c r="N131" s="3" t="str">
        <f>CONTROLE_DIARIO!N132</f>
        <v>Qualidade</v>
      </c>
      <c r="O131" s="3" t="str">
        <f>CONTROLE_DIARIO!O132</f>
        <v>Neudo</v>
      </c>
      <c r="P131" s="51" t="str">
        <f>CONTROLE_DIARIO!P132</f>
        <v>yyyy0521-Loja Asa Norte-4048</v>
      </c>
      <c r="Q131" s="6">
        <f t="shared" si="12"/>
        <v>0.3</v>
      </c>
      <c r="R131" s="54" t="str">
        <f t="shared" si="13"/>
        <v>FORA APP</v>
      </c>
      <c r="S131" s="3" t="str">
        <f t="shared" si="14"/>
        <v>mai/yy</v>
      </c>
      <c r="T131" s="3">
        <f t="shared" si="15"/>
        <v>21</v>
      </c>
      <c r="U131" s="3">
        <f t="shared" si="16"/>
        <v>2026</v>
      </c>
      <c r="V131" s="6">
        <f t="shared" si="17"/>
        <v>0.3</v>
      </c>
      <c r="W131" s="3" t="str">
        <f t="shared" si="18"/>
        <v>CRÍTICO</v>
      </c>
    </row>
    <row r="132" spans="1:23" x14ac:dyDescent="0.25">
      <c r="A132" s="2">
        <f>CONTROLE_DIARIO!A133</f>
        <v>46162</v>
      </c>
      <c r="B132" s="51" t="str">
        <f>CONTROLE_DIARIO!B133</f>
        <v>Loja ADE</v>
      </c>
      <c r="C132" s="3">
        <f>CONTROLE_DIARIO!C133</f>
        <v>4049</v>
      </c>
      <c r="D132" s="3" t="str">
        <f>CONTROLE_DIARIO!D133</f>
        <v>João Lucas</v>
      </c>
      <c r="E132" s="3" t="str">
        <f>CONTROLE_DIARIO!E133</f>
        <v>Entrega Total</v>
      </c>
      <c r="F132" s="3" t="str">
        <f>CONTROLE_DIARIO!F133</f>
        <v>SIM</v>
      </c>
      <c r="G132" s="3" t="str">
        <f>CONTROLE_DIARIO!G133</f>
        <v>SIM</v>
      </c>
      <c r="H132" s="3" t="str">
        <f>CONTROLE_DIARIO!H133</f>
        <v>SIM</v>
      </c>
      <c r="I132" s="3" t="str">
        <f>CONTROLE_DIARIO!I133</f>
        <v>SIM</v>
      </c>
      <c r="J132" s="3" t="str">
        <f>CONTROLE_DIARIO!J133</f>
        <v>SIM</v>
      </c>
      <c r="K132" s="3" t="str">
        <f>CONTROLE_DIARIO!K133</f>
        <v>OK</v>
      </c>
      <c r="L132" s="51" t="str">
        <f>CONTROLE_DIARIO!L133</f>
        <v>OK</v>
      </c>
      <c r="M132" s="51">
        <f>CONTROLE_DIARIO!M133</f>
        <v>0</v>
      </c>
      <c r="N132" s="3" t="str">
        <f>CONTROLE_DIARIO!N133</f>
        <v>Qualidade</v>
      </c>
      <c r="O132" s="3" t="str">
        <f>CONTROLE_DIARIO!O133</f>
        <v>Danilo</v>
      </c>
      <c r="P132" s="51" t="str">
        <f>CONTROLE_DIARIO!P133</f>
        <v>yyyy0521-Loja ADE-4049</v>
      </c>
      <c r="Q132" s="6">
        <f t="shared" si="12"/>
        <v>1</v>
      </c>
      <c r="R132" s="54" t="str">
        <f t="shared" si="13"/>
        <v>OK</v>
      </c>
      <c r="S132" s="3" t="str">
        <f t="shared" si="14"/>
        <v>mai/yy</v>
      </c>
      <c r="T132" s="3">
        <f t="shared" si="15"/>
        <v>21</v>
      </c>
      <c r="U132" s="3">
        <f t="shared" si="16"/>
        <v>2026</v>
      </c>
      <c r="V132" s="6">
        <f t="shared" si="17"/>
        <v>1</v>
      </c>
      <c r="W132" s="3" t="str">
        <f t="shared" si="18"/>
        <v>OK</v>
      </c>
    </row>
    <row r="133" spans="1:23" x14ac:dyDescent="0.25">
      <c r="A133" s="2">
        <f>CONTROLE_DIARIO!A134</f>
        <v>46162</v>
      </c>
      <c r="B133" s="51" t="str">
        <f>CONTROLE_DIARIO!B134</f>
        <v>Loja ADE</v>
      </c>
      <c r="C133" s="3">
        <f>CONTROLE_DIARIO!C134</f>
        <v>4050</v>
      </c>
      <c r="D133" s="3" t="str">
        <f>CONTROLE_DIARIO!D134</f>
        <v>João Lucas</v>
      </c>
      <c r="E133" s="3" t="str">
        <f>CONTROLE_DIARIO!E134</f>
        <v>Entrega Total</v>
      </c>
      <c r="F133" s="3" t="str">
        <f>CONTROLE_DIARIO!F134</f>
        <v>SIM</v>
      </c>
      <c r="G133" s="3" t="str">
        <f>CONTROLE_DIARIO!G134</f>
        <v>SIM</v>
      </c>
      <c r="H133" s="3" t="str">
        <f>CONTROLE_DIARIO!H134</f>
        <v>SIM</v>
      </c>
      <c r="I133" s="3" t="str">
        <f>CONTROLE_DIARIO!I134</f>
        <v>SIM</v>
      </c>
      <c r="J133" s="3" t="str">
        <f>CONTROLE_DIARIO!J134</f>
        <v>SIM</v>
      </c>
      <c r="K133" s="3" t="str">
        <f>CONTROLE_DIARIO!K134</f>
        <v>OK</v>
      </c>
      <c r="L133" s="51" t="str">
        <f>CONTROLE_DIARIO!L134</f>
        <v>Sem foto fachada</v>
      </c>
      <c r="M133" s="51">
        <f>CONTROLE_DIARIO!M134</f>
        <v>0</v>
      </c>
      <c r="N133" s="3" t="str">
        <f>CONTROLE_DIARIO!N134</f>
        <v>Qualidade</v>
      </c>
      <c r="O133" s="3" t="str">
        <f>CONTROLE_DIARIO!O134</f>
        <v>Danilo</v>
      </c>
      <c r="P133" s="51" t="str">
        <f>CONTROLE_DIARIO!P134</f>
        <v>yyyy0521-Loja ADE-4050</v>
      </c>
      <c r="Q133" s="6">
        <f t="shared" si="12"/>
        <v>1</v>
      </c>
      <c r="R133" s="54" t="str">
        <f t="shared" si="13"/>
        <v>OK</v>
      </c>
      <c r="S133" s="3" t="str">
        <f t="shared" si="14"/>
        <v>mai/yy</v>
      </c>
      <c r="T133" s="3">
        <f t="shared" si="15"/>
        <v>21</v>
      </c>
      <c r="U133" s="3">
        <f t="shared" si="16"/>
        <v>2026</v>
      </c>
      <c r="V133" s="6">
        <f t="shared" si="17"/>
        <v>1</v>
      </c>
      <c r="W133" s="3" t="str">
        <f t="shared" si="18"/>
        <v>OK</v>
      </c>
    </row>
    <row r="134" spans="1:23" x14ac:dyDescent="0.25">
      <c r="A134" s="2">
        <f>CONTROLE_DIARIO!A135</f>
        <v>46162</v>
      </c>
      <c r="B134" s="51" t="str">
        <f>CONTROLE_DIARIO!B135</f>
        <v>Loja Aguas Lindas</v>
      </c>
      <c r="C134" s="3">
        <f>CONTROLE_DIARIO!C135</f>
        <v>4051</v>
      </c>
      <c r="D134" s="3" t="str">
        <f>CONTROLE_DIARIO!D135</f>
        <v>Jusley</v>
      </c>
      <c r="E134" s="3" t="str">
        <f>CONTROLE_DIARIO!E135</f>
        <v>Entrega Total</v>
      </c>
      <c r="F134" s="3" t="str">
        <f>CONTROLE_DIARIO!F135</f>
        <v>NÃO</v>
      </c>
      <c r="G134" s="3" t="str">
        <f>CONTROLE_DIARIO!G135</f>
        <v>NÃO</v>
      </c>
      <c r="H134" s="3" t="str">
        <f>CONTROLE_DIARIO!H135</f>
        <v>NÃO</v>
      </c>
      <c r="I134" s="3" t="str">
        <f>CONTROLE_DIARIO!I135</f>
        <v>SIM</v>
      </c>
      <c r="J134" s="3" t="str">
        <f>CONTROLE_DIARIO!J135</f>
        <v>NÃO</v>
      </c>
      <c r="K134" s="3" t="str">
        <f>CONTROLE_DIARIO!K135</f>
        <v>NOK</v>
      </c>
      <c r="L134" s="51" t="str">
        <f>CONTROLE_DIARIO!L135</f>
        <v>Outro</v>
      </c>
      <c r="M134" s="51" t="str">
        <f>CONTROLE_DIARIO!M135</f>
        <v>Manifesto não entregue pelo app</v>
      </c>
      <c r="N134" s="3" t="str">
        <f>CONTROLE_DIARIO!N135</f>
        <v>Qualidade</v>
      </c>
      <c r="O134" s="3" t="str">
        <f>CONTROLE_DIARIO!O135</f>
        <v>Natália</v>
      </c>
      <c r="P134" s="51" t="str">
        <f>CONTROLE_DIARIO!P135</f>
        <v>yyyy0521-Loja Aguas Lindas-4051</v>
      </c>
      <c r="Q134" s="6">
        <f t="shared" ref="Q134:Q197" si="19">IF(C134="","",(IF(F134="SIM",0.3,0)+IF(J134="SIM",0.4,0)+IF(I134="SIM",0.3,0)))</f>
        <v>0.3</v>
      </c>
      <c r="R134" s="54" t="str">
        <f t="shared" ref="R134:R197" si="20">IF(C134="","",IF(E134="Retorno Total","Retorno Total",IF(E134="Cancelado","Manifesto Cancelado",IF(AND(F134="NÃO",G134="NÃO",H134="NÃO"),"FORA APP",IF(F134="NÃO","Não conferido",IF(I134="NÃO","Não baixado",IF(AND(G134="NÃO",H134="NÃO"),"Sem foto e assinatura",IF(G134="NÃO","Sem foto",IF(H134="NÃO","Sem assinatura","OK")))))))))</f>
        <v>FORA APP</v>
      </c>
      <c r="S134" s="3" t="str">
        <f t="shared" ref="S134:S197" si="21">IF(A134="","",TEXT(A134,"mmm/yy"))</f>
        <v>mai/yy</v>
      </c>
      <c r="T134" s="3">
        <f t="shared" ref="T134:T197" si="22">IF(A134="","",WEEKNUM(A134,2))</f>
        <v>21</v>
      </c>
      <c r="U134" s="3">
        <f t="shared" ref="U134:U197" si="23">IF(A134="","",YEAR(A134))</f>
        <v>2026</v>
      </c>
      <c r="V134" s="6">
        <f t="shared" ref="V134:V197" si="24">IF(C134="","",Q134)</f>
        <v>0.3</v>
      </c>
      <c r="W134" s="3" t="str">
        <f t="shared" ref="W134:W197" si="25">IF(C134="","",IF(Q134&lt;0.85,"CRÍTICO",IF(Q134&lt;0.95,"ATENÇÃO","OK")))</f>
        <v>CRÍTICO</v>
      </c>
    </row>
    <row r="135" spans="1:23" x14ac:dyDescent="0.25">
      <c r="A135" s="2">
        <f>CONTROLE_DIARIO!A136</f>
        <v>46162</v>
      </c>
      <c r="B135" s="51" t="str">
        <f>CONTROLE_DIARIO!B136</f>
        <v>Loja Asa Norte</v>
      </c>
      <c r="C135" s="3">
        <f>CONTROLE_DIARIO!C136</f>
        <v>4052</v>
      </c>
      <c r="D135" s="3" t="str">
        <f>CONTROLE_DIARIO!D136</f>
        <v>J. Alessandro</v>
      </c>
      <c r="E135" s="3" t="str">
        <f>CONTROLE_DIARIO!E136</f>
        <v>Entrega Total</v>
      </c>
      <c r="F135" s="3" t="str">
        <f>CONTROLE_DIARIO!F136</f>
        <v>NÃO</v>
      </c>
      <c r="G135" s="3" t="str">
        <f>CONTROLE_DIARIO!G136</f>
        <v>NÃO</v>
      </c>
      <c r="H135" s="3" t="str">
        <f>CONTROLE_DIARIO!H136</f>
        <v>NÃO</v>
      </c>
      <c r="I135" s="3" t="str">
        <f>CONTROLE_DIARIO!I136</f>
        <v>SIM</v>
      </c>
      <c r="J135" s="3" t="str">
        <f>CONTROLE_DIARIO!J136</f>
        <v>NÃO</v>
      </c>
      <c r="K135" s="3" t="str">
        <f>CONTROLE_DIARIO!K136</f>
        <v>NOK</v>
      </c>
      <c r="L135" s="51" t="str">
        <f>CONTROLE_DIARIO!L136</f>
        <v>Outro</v>
      </c>
      <c r="M135" s="51" t="str">
        <f>CONTROLE_DIARIO!M136</f>
        <v>Manifesto não entregue pelo app</v>
      </c>
      <c r="N135" s="3" t="str">
        <f>CONTROLE_DIARIO!N136</f>
        <v>Qualidade</v>
      </c>
      <c r="O135" s="3" t="str">
        <f>CONTROLE_DIARIO!O136</f>
        <v>Neudo</v>
      </c>
      <c r="P135" s="51" t="str">
        <f>CONTROLE_DIARIO!P136</f>
        <v>yyyy0100-Loja Asa Norte-4052</v>
      </c>
      <c r="Q135" s="6">
        <f t="shared" si="19"/>
        <v>0.3</v>
      </c>
      <c r="R135" s="54" t="str">
        <f t="shared" si="20"/>
        <v>FORA APP</v>
      </c>
      <c r="S135" s="3" t="str">
        <f t="shared" si="21"/>
        <v>mai/yy</v>
      </c>
      <c r="T135" s="3">
        <f t="shared" si="22"/>
        <v>21</v>
      </c>
      <c r="U135" s="3">
        <f t="shared" si="23"/>
        <v>2026</v>
      </c>
      <c r="V135" s="6">
        <f t="shared" si="24"/>
        <v>0.3</v>
      </c>
      <c r="W135" s="3" t="str">
        <f t="shared" si="25"/>
        <v>CRÍTICO</v>
      </c>
    </row>
    <row r="136" spans="1:23" x14ac:dyDescent="0.25">
      <c r="A136" s="2">
        <f>CONTROLE_DIARIO!A137</f>
        <v>46162</v>
      </c>
      <c r="B136" s="51" t="str">
        <f>CONTROLE_DIARIO!B137</f>
        <v>Loja Aguas Lindas</v>
      </c>
      <c r="C136" s="3">
        <f>CONTROLE_DIARIO!C137</f>
        <v>4053</v>
      </c>
      <c r="D136" s="3" t="str">
        <f>CONTROLE_DIARIO!D137</f>
        <v>Jusley</v>
      </c>
      <c r="E136" s="3" t="str">
        <f>CONTROLE_DIARIO!E137</f>
        <v>Entrega Total</v>
      </c>
      <c r="F136" s="3" t="str">
        <f>CONTROLE_DIARIO!F137</f>
        <v>NÃO</v>
      </c>
      <c r="G136" s="3" t="str">
        <f>CONTROLE_DIARIO!G137</f>
        <v>NÃO</v>
      </c>
      <c r="H136" s="3" t="str">
        <f>CONTROLE_DIARIO!H137</f>
        <v>NÃO</v>
      </c>
      <c r="I136" s="3" t="str">
        <f>CONTROLE_DIARIO!I137</f>
        <v>SIM</v>
      </c>
      <c r="J136" s="3" t="str">
        <f>CONTROLE_DIARIO!J137</f>
        <v>NÃO</v>
      </c>
      <c r="K136" s="3" t="str">
        <f>CONTROLE_DIARIO!K137</f>
        <v>NOK</v>
      </c>
      <c r="L136" s="51" t="str">
        <f>CONTROLE_DIARIO!L137</f>
        <v>Outro</v>
      </c>
      <c r="M136" s="51" t="str">
        <f>CONTROLE_DIARIO!M137</f>
        <v>Manifesto não entregue pelo app</v>
      </c>
      <c r="N136" s="3" t="str">
        <f>CONTROLE_DIARIO!N137</f>
        <v>Qualidade</v>
      </c>
      <c r="O136" s="3" t="str">
        <f>CONTROLE_DIARIO!O137</f>
        <v>Natália</v>
      </c>
      <c r="P136" s="51" t="str">
        <f>CONTROLE_DIARIO!P137</f>
        <v>yyyy0100-Loja Aguas Lindas-4053</v>
      </c>
      <c r="Q136" s="6">
        <f t="shared" si="19"/>
        <v>0.3</v>
      </c>
      <c r="R136" s="54" t="str">
        <f t="shared" si="20"/>
        <v>FORA APP</v>
      </c>
      <c r="S136" s="3" t="str">
        <f t="shared" si="21"/>
        <v>mai/yy</v>
      </c>
      <c r="T136" s="3">
        <f t="shared" si="22"/>
        <v>21</v>
      </c>
      <c r="U136" s="3">
        <f t="shared" si="23"/>
        <v>2026</v>
      </c>
      <c r="V136" s="6">
        <f t="shared" si="24"/>
        <v>0.3</v>
      </c>
      <c r="W136" s="3" t="str">
        <f t="shared" si="25"/>
        <v>CRÍTICO</v>
      </c>
    </row>
    <row r="137" spans="1:23" x14ac:dyDescent="0.25">
      <c r="A137" s="2">
        <f>CONTROLE_DIARIO!A138</f>
        <v>46162</v>
      </c>
      <c r="B137" s="51" t="str">
        <f>CONTROLE_DIARIO!B138</f>
        <v>Loja Pistão</v>
      </c>
      <c r="C137" s="3">
        <f>CONTROLE_DIARIO!C138</f>
        <v>4054</v>
      </c>
      <c r="D137" s="3" t="str">
        <f>CONTROLE_DIARIO!D138</f>
        <v>João Lucas</v>
      </c>
      <c r="E137" s="3" t="str">
        <f>CONTROLE_DIARIO!E138</f>
        <v>Entrega Total</v>
      </c>
      <c r="F137" s="3" t="str">
        <f>CONTROLE_DIARIO!F138</f>
        <v>SIM</v>
      </c>
      <c r="G137" s="3" t="str">
        <f>CONTROLE_DIARIO!G138</f>
        <v>SIM</v>
      </c>
      <c r="H137" s="3" t="str">
        <f>CONTROLE_DIARIO!H138</f>
        <v>SIM</v>
      </c>
      <c r="I137" s="3" t="str">
        <f>CONTROLE_DIARIO!I138</f>
        <v>SIM</v>
      </c>
      <c r="J137" s="3" t="str">
        <f>CONTROLE_DIARIO!J138</f>
        <v>SIM</v>
      </c>
      <c r="K137" s="3" t="str">
        <f>CONTROLE_DIARIO!K138</f>
        <v>OK</v>
      </c>
      <c r="L137" s="51" t="str">
        <f>CONTROLE_DIARIO!L138</f>
        <v>OK</v>
      </c>
      <c r="M137" s="51">
        <f>CONTROLE_DIARIO!M138</f>
        <v>0</v>
      </c>
      <c r="N137" s="3" t="str">
        <f>CONTROLE_DIARIO!N138</f>
        <v>Qualidade</v>
      </c>
      <c r="O137" s="3" t="str">
        <f>CONTROLE_DIARIO!O138</f>
        <v>Cinthya</v>
      </c>
      <c r="P137" s="51" t="str">
        <f>CONTROLE_DIARIO!P138</f>
        <v>yyyy0100-Loja Pistão-4054</v>
      </c>
      <c r="Q137" s="6">
        <f t="shared" si="19"/>
        <v>1</v>
      </c>
      <c r="R137" s="54" t="str">
        <f t="shared" si="20"/>
        <v>OK</v>
      </c>
      <c r="S137" s="3" t="str">
        <f t="shared" si="21"/>
        <v>mai/yy</v>
      </c>
      <c r="T137" s="3">
        <f t="shared" si="22"/>
        <v>21</v>
      </c>
      <c r="U137" s="3">
        <f t="shared" si="23"/>
        <v>2026</v>
      </c>
      <c r="V137" s="6">
        <f t="shared" si="24"/>
        <v>1</v>
      </c>
      <c r="W137" s="3" t="str">
        <f t="shared" si="25"/>
        <v>OK</v>
      </c>
    </row>
    <row r="138" spans="1:23" x14ac:dyDescent="0.25">
      <c r="A138" s="2">
        <f>CONTROLE_DIARIO!A139</f>
        <v>46162</v>
      </c>
      <c r="B138" s="51" t="str">
        <f>CONTROLE_DIARIO!B139</f>
        <v>Loja Asa Norte</v>
      </c>
      <c r="C138" s="3">
        <f>CONTROLE_DIARIO!C139</f>
        <v>4055</v>
      </c>
      <c r="D138" s="3" t="str">
        <f>CONTROLE_DIARIO!D139</f>
        <v>J. Alessandro</v>
      </c>
      <c r="E138" s="3" t="str">
        <f>CONTROLE_DIARIO!E139</f>
        <v>Cancelado</v>
      </c>
      <c r="F138" s="3">
        <f>CONTROLE_DIARIO!F139</f>
        <v>0</v>
      </c>
      <c r="G138" s="3">
        <f>CONTROLE_DIARIO!G139</f>
        <v>0</v>
      </c>
      <c r="H138" s="3">
        <f>CONTROLE_DIARIO!H139</f>
        <v>0</v>
      </c>
      <c r="I138" s="3">
        <f>CONTROLE_DIARIO!I139</f>
        <v>0</v>
      </c>
      <c r="J138" s="3" t="str">
        <f>CONTROLE_DIARIO!J139</f>
        <v xml:space="preserve"> </v>
      </c>
      <c r="K138" s="3" t="str">
        <f>CONTROLE_DIARIO!K139</f>
        <v>NOK</v>
      </c>
      <c r="L138" s="51" t="str">
        <f>CONTROLE_DIARIO!L139</f>
        <v>Manifesto cancelado</v>
      </c>
      <c r="M138" s="51">
        <f>CONTROLE_DIARIO!M139</f>
        <v>0</v>
      </c>
      <c r="N138" s="3" t="str">
        <f>CONTROLE_DIARIO!N139</f>
        <v>Qualidade</v>
      </c>
      <c r="O138" s="3" t="str">
        <f>CONTROLE_DIARIO!O139</f>
        <v>Neudo</v>
      </c>
      <c r="P138" s="51" t="str">
        <f>CONTROLE_DIARIO!P139</f>
        <v>yyyy0100-Loja Asa Norte-4055</v>
      </c>
      <c r="Q138" s="6">
        <f t="shared" si="19"/>
        <v>0</v>
      </c>
      <c r="R138" s="54" t="str">
        <f t="shared" si="20"/>
        <v>Manifesto Cancelado</v>
      </c>
      <c r="S138" s="3" t="str">
        <f t="shared" si="21"/>
        <v>mai/yy</v>
      </c>
      <c r="T138" s="3">
        <f t="shared" si="22"/>
        <v>21</v>
      </c>
      <c r="U138" s="3">
        <f t="shared" si="23"/>
        <v>2026</v>
      </c>
      <c r="V138" s="6">
        <f t="shared" si="24"/>
        <v>0</v>
      </c>
      <c r="W138" s="3" t="str">
        <f t="shared" si="25"/>
        <v>CRÍTICO</v>
      </c>
    </row>
    <row r="139" spans="1:23" x14ac:dyDescent="0.25">
      <c r="A139" s="2">
        <f>CONTROLE_DIARIO!A140</f>
        <v>46162</v>
      </c>
      <c r="B139" s="51" t="str">
        <f>CONTROLE_DIARIO!B140</f>
        <v>Loja Asa Norte</v>
      </c>
      <c r="C139" s="3">
        <f>CONTROLE_DIARIO!C140</f>
        <v>4056</v>
      </c>
      <c r="D139" s="3" t="str">
        <f>CONTROLE_DIARIO!D140</f>
        <v>J. Alessandro</v>
      </c>
      <c r="E139" s="3" t="str">
        <f>CONTROLE_DIARIO!E140</f>
        <v>Entrega Total</v>
      </c>
      <c r="F139" s="3" t="str">
        <f>CONTROLE_DIARIO!F140</f>
        <v>NÃO</v>
      </c>
      <c r="G139" s="3" t="str">
        <f>CONTROLE_DIARIO!G140</f>
        <v>NÃO</v>
      </c>
      <c r="H139" s="3" t="str">
        <f>CONTROLE_DIARIO!H140</f>
        <v>NÃO</v>
      </c>
      <c r="I139" s="3" t="str">
        <f>CONTROLE_DIARIO!I140</f>
        <v>SIM</v>
      </c>
      <c r="J139" s="3" t="str">
        <f>CONTROLE_DIARIO!J140</f>
        <v>NÃO</v>
      </c>
      <c r="K139" s="3" t="str">
        <f>CONTROLE_DIARIO!K140</f>
        <v>NOK</v>
      </c>
      <c r="L139" s="51" t="str">
        <f>CONTROLE_DIARIO!L140</f>
        <v>Outro</v>
      </c>
      <c r="M139" s="51" t="str">
        <f>CONTROLE_DIARIO!M140</f>
        <v>Manifesto não entregue pelo app</v>
      </c>
      <c r="N139" s="3" t="str">
        <f>CONTROLE_DIARIO!N140</f>
        <v>Qualidade</v>
      </c>
      <c r="O139" s="3" t="str">
        <f>CONTROLE_DIARIO!O140</f>
        <v>Neudo</v>
      </c>
      <c r="P139" s="51" t="str">
        <f>CONTROLE_DIARIO!P140</f>
        <v>yyyy0100-Loja Asa Norte-4056</v>
      </c>
      <c r="Q139" s="6">
        <f t="shared" si="19"/>
        <v>0.3</v>
      </c>
      <c r="R139" s="54" t="str">
        <f t="shared" si="20"/>
        <v>FORA APP</v>
      </c>
      <c r="S139" s="3" t="str">
        <f t="shared" si="21"/>
        <v>mai/yy</v>
      </c>
      <c r="T139" s="3">
        <f t="shared" si="22"/>
        <v>21</v>
      </c>
      <c r="U139" s="3">
        <f t="shared" si="23"/>
        <v>2026</v>
      </c>
      <c r="V139" s="6">
        <f t="shared" si="24"/>
        <v>0.3</v>
      </c>
      <c r="W139" s="3" t="str">
        <f t="shared" si="25"/>
        <v>CRÍTICO</v>
      </c>
    </row>
    <row r="140" spans="1:23" x14ac:dyDescent="0.25">
      <c r="A140" s="2">
        <f>CONTROLE_DIARIO!A141</f>
        <v>46162</v>
      </c>
      <c r="B140" s="51" t="str">
        <f>CONTROLE_DIARIO!B141</f>
        <v>Loja Aguas Lindas</v>
      </c>
      <c r="C140" s="3">
        <f>CONTROLE_DIARIO!C141</f>
        <v>4057</v>
      </c>
      <c r="D140" s="3" t="str">
        <f>CONTROLE_DIARIO!D141</f>
        <v>Jusley</v>
      </c>
      <c r="E140" s="3" t="str">
        <f>CONTROLE_DIARIO!E141</f>
        <v>Entrega Total</v>
      </c>
      <c r="F140" s="3" t="str">
        <f>CONTROLE_DIARIO!F141</f>
        <v>NÃO</v>
      </c>
      <c r="G140" s="3" t="str">
        <f>CONTROLE_DIARIO!G141</f>
        <v>NÃO</v>
      </c>
      <c r="H140" s="3" t="str">
        <f>CONTROLE_DIARIO!H141</f>
        <v>NÃO</v>
      </c>
      <c r="I140" s="3" t="str">
        <f>CONTROLE_DIARIO!I141</f>
        <v>SIM</v>
      </c>
      <c r="J140" s="3" t="str">
        <f>CONTROLE_DIARIO!J141</f>
        <v>NÃO</v>
      </c>
      <c r="K140" s="3" t="str">
        <f>CONTROLE_DIARIO!K141</f>
        <v>NOK</v>
      </c>
      <c r="L140" s="51" t="str">
        <f>CONTROLE_DIARIO!L141</f>
        <v>Outro</v>
      </c>
      <c r="M140" s="51" t="str">
        <f>CONTROLE_DIARIO!M141</f>
        <v>Manifesto não entregue pelo app</v>
      </c>
      <c r="N140" s="3" t="str">
        <f>CONTROLE_DIARIO!N141</f>
        <v>Qualidade</v>
      </c>
      <c r="O140" s="3" t="str">
        <f>CONTROLE_DIARIO!O141</f>
        <v>Natália</v>
      </c>
      <c r="P140" s="51" t="str">
        <f>CONTROLE_DIARIO!P141</f>
        <v>yyyy0100-Loja Aguas Lindas-4057</v>
      </c>
      <c r="Q140" s="6">
        <f t="shared" si="19"/>
        <v>0.3</v>
      </c>
      <c r="R140" s="54" t="str">
        <f t="shared" si="20"/>
        <v>FORA APP</v>
      </c>
      <c r="S140" s="3" t="str">
        <f t="shared" si="21"/>
        <v>mai/yy</v>
      </c>
      <c r="T140" s="3">
        <f t="shared" si="22"/>
        <v>21</v>
      </c>
      <c r="U140" s="3">
        <f t="shared" si="23"/>
        <v>2026</v>
      </c>
      <c r="V140" s="6">
        <f t="shared" si="24"/>
        <v>0.3</v>
      </c>
      <c r="W140" s="3" t="str">
        <f t="shared" si="25"/>
        <v>CRÍTICO</v>
      </c>
    </row>
    <row r="141" spans="1:23" x14ac:dyDescent="0.25">
      <c r="A141" s="2">
        <f>CONTROLE_DIARIO!A142</f>
        <v>46162</v>
      </c>
      <c r="B141" s="51" t="str">
        <f>CONTROLE_DIARIO!B142</f>
        <v>Loja Pistão</v>
      </c>
      <c r="C141" s="3">
        <f>CONTROLE_DIARIO!C142</f>
        <v>4058</v>
      </c>
      <c r="D141" s="3" t="str">
        <f>CONTROLE_DIARIO!D142</f>
        <v>João Lucas</v>
      </c>
      <c r="E141" s="3" t="str">
        <f>CONTROLE_DIARIO!E142</f>
        <v>Entrega Total</v>
      </c>
      <c r="F141" s="3" t="str">
        <f>CONTROLE_DIARIO!F142</f>
        <v>NÃO</v>
      </c>
      <c r="G141" s="3" t="str">
        <f>CONTROLE_DIARIO!G142</f>
        <v>NÃO</v>
      </c>
      <c r="H141" s="3" t="str">
        <f>CONTROLE_DIARIO!H142</f>
        <v>NÃO</v>
      </c>
      <c r="I141" s="3" t="str">
        <f>CONTROLE_DIARIO!I142</f>
        <v>SIM</v>
      </c>
      <c r="J141" s="3" t="str">
        <f>CONTROLE_DIARIO!J142</f>
        <v>NÃO</v>
      </c>
      <c r="K141" s="3" t="str">
        <f>CONTROLE_DIARIO!K142</f>
        <v>NOK</v>
      </c>
      <c r="L141" s="51" t="str">
        <f>CONTROLE_DIARIO!L142</f>
        <v>Outro</v>
      </c>
      <c r="M141" s="51" t="str">
        <f>CONTROLE_DIARIO!M142</f>
        <v>Manifesto não entregue pelo app</v>
      </c>
      <c r="N141" s="3" t="str">
        <f>CONTROLE_DIARIO!N142</f>
        <v>Qualidade</v>
      </c>
      <c r="O141" s="3" t="str">
        <f>CONTROLE_DIARIO!O142</f>
        <v>Cinthya</v>
      </c>
      <c r="P141" s="51" t="str">
        <f>CONTROLE_DIARIO!P142</f>
        <v>yyyy0100-Loja Pistão-4058</v>
      </c>
      <c r="Q141" s="6">
        <f t="shared" si="19"/>
        <v>0.3</v>
      </c>
      <c r="R141" s="54" t="str">
        <f t="shared" si="20"/>
        <v>FORA APP</v>
      </c>
      <c r="S141" s="3" t="str">
        <f t="shared" si="21"/>
        <v>mai/yy</v>
      </c>
      <c r="T141" s="3">
        <f t="shared" si="22"/>
        <v>21</v>
      </c>
      <c r="U141" s="3">
        <f t="shared" si="23"/>
        <v>2026</v>
      </c>
      <c r="V141" s="6">
        <f t="shared" si="24"/>
        <v>0.3</v>
      </c>
      <c r="W141" s="3" t="str">
        <f t="shared" si="25"/>
        <v>CRÍTICO</v>
      </c>
    </row>
    <row r="142" spans="1:23" x14ac:dyDescent="0.25">
      <c r="A142" s="2">
        <f>CONTROLE_DIARIO!A143</f>
        <v>46162</v>
      </c>
      <c r="B142" s="51" t="str">
        <f>CONTROLE_DIARIO!B143</f>
        <v>Loja Pistão</v>
      </c>
      <c r="C142" s="3">
        <f>CONTROLE_DIARIO!C143</f>
        <v>4059</v>
      </c>
      <c r="D142" s="3" t="str">
        <f>CONTROLE_DIARIO!D143</f>
        <v>João Lucas</v>
      </c>
      <c r="E142" s="3" t="str">
        <f>CONTROLE_DIARIO!E143</f>
        <v>Aberto</v>
      </c>
      <c r="F142" s="3">
        <f>CONTROLE_DIARIO!F143</f>
        <v>0</v>
      </c>
      <c r="G142" s="3">
        <f>CONTROLE_DIARIO!G143</f>
        <v>0</v>
      </c>
      <c r="H142" s="3">
        <f>CONTROLE_DIARIO!H143</f>
        <v>0</v>
      </c>
      <c r="I142" s="3">
        <f>CONTROLE_DIARIO!I143</f>
        <v>0</v>
      </c>
      <c r="J142" s="3" t="str">
        <f>CONTROLE_DIARIO!J143</f>
        <v>NÃO</v>
      </c>
      <c r="K142" s="3" t="str">
        <f>CONTROLE_DIARIO!K143</f>
        <v>NOK</v>
      </c>
      <c r="L142" s="51">
        <f>CONTROLE_DIARIO!L143</f>
        <v>0</v>
      </c>
      <c r="M142" s="51">
        <f>CONTROLE_DIARIO!M143</f>
        <v>0</v>
      </c>
      <c r="N142" s="3" t="str">
        <f>CONTROLE_DIARIO!N143</f>
        <v>Qualidade</v>
      </c>
      <c r="O142" s="3" t="str">
        <f>CONTROLE_DIARIO!O143</f>
        <v>Cinthya</v>
      </c>
      <c r="P142" s="51" t="str">
        <f>CONTROLE_DIARIO!P143</f>
        <v>yyyy0100-Loja Pistão-4059</v>
      </c>
      <c r="Q142" s="6">
        <f t="shared" si="19"/>
        <v>0</v>
      </c>
      <c r="R142" s="54" t="str">
        <f t="shared" si="20"/>
        <v>OK</v>
      </c>
      <c r="S142" s="3" t="str">
        <f t="shared" si="21"/>
        <v>mai/yy</v>
      </c>
      <c r="T142" s="3">
        <f t="shared" si="22"/>
        <v>21</v>
      </c>
      <c r="U142" s="3">
        <f t="shared" si="23"/>
        <v>2026</v>
      </c>
      <c r="V142" s="6">
        <f t="shared" si="24"/>
        <v>0</v>
      </c>
      <c r="W142" s="3" t="str">
        <f t="shared" si="25"/>
        <v>CRÍTICO</v>
      </c>
    </row>
    <row r="143" spans="1:23" x14ac:dyDescent="0.25">
      <c r="A143" s="2">
        <f>CONTROLE_DIARIO!A144</f>
        <v>46162</v>
      </c>
      <c r="B143" s="51" t="str">
        <f>CONTROLE_DIARIO!B144</f>
        <v>Loja Pistão</v>
      </c>
      <c r="C143" s="3">
        <f>CONTROLE_DIARIO!C144</f>
        <v>4060</v>
      </c>
      <c r="D143" s="3" t="str">
        <f>CONTROLE_DIARIO!D144</f>
        <v>João Lucas</v>
      </c>
      <c r="E143" s="3" t="str">
        <f>CONTROLE_DIARIO!E144</f>
        <v>Aberto</v>
      </c>
      <c r="F143" s="3">
        <f>CONTROLE_DIARIO!F144</f>
        <v>0</v>
      </c>
      <c r="G143" s="3">
        <f>CONTROLE_DIARIO!G144</f>
        <v>0</v>
      </c>
      <c r="H143" s="3">
        <f>CONTROLE_DIARIO!H144</f>
        <v>0</v>
      </c>
      <c r="I143" s="3">
        <f>CONTROLE_DIARIO!I144</f>
        <v>0</v>
      </c>
      <c r="J143" s="3" t="str">
        <f>CONTROLE_DIARIO!J144</f>
        <v>NÃO</v>
      </c>
      <c r="K143" s="3" t="str">
        <f>CONTROLE_DIARIO!K144</f>
        <v>NOK</v>
      </c>
      <c r="L143" s="51">
        <f>CONTROLE_DIARIO!L144</f>
        <v>0</v>
      </c>
      <c r="M143" s="51">
        <f>CONTROLE_DIARIO!M144</f>
        <v>0</v>
      </c>
      <c r="N143" s="3" t="str">
        <f>CONTROLE_DIARIO!N144</f>
        <v>Qualidade</v>
      </c>
      <c r="O143" s="3" t="str">
        <f>CONTROLE_DIARIO!O144</f>
        <v>Cinthya</v>
      </c>
      <c r="P143" s="51" t="str">
        <f>CONTROLE_DIARIO!P144</f>
        <v>yyyy0100-Loja Pistão-4060</v>
      </c>
      <c r="Q143" s="6">
        <f t="shared" si="19"/>
        <v>0</v>
      </c>
      <c r="R143" s="54" t="str">
        <f t="shared" si="20"/>
        <v>OK</v>
      </c>
      <c r="S143" s="3" t="str">
        <f t="shared" si="21"/>
        <v>mai/yy</v>
      </c>
      <c r="T143" s="3">
        <f t="shared" si="22"/>
        <v>21</v>
      </c>
      <c r="U143" s="3">
        <f t="shared" si="23"/>
        <v>2026</v>
      </c>
      <c r="V143" s="6">
        <f t="shared" si="24"/>
        <v>0</v>
      </c>
      <c r="W143" s="3" t="str">
        <f t="shared" si="25"/>
        <v>CRÍTICO</v>
      </c>
    </row>
    <row r="144" spans="1:23" x14ac:dyDescent="0.25">
      <c r="A144" s="2">
        <f>CONTROLE_DIARIO!A145</f>
        <v>46162</v>
      </c>
      <c r="B144" s="51" t="str">
        <f>CONTROLE_DIARIO!B145</f>
        <v>Loja Asa Norte</v>
      </c>
      <c r="C144" s="3">
        <f>CONTROLE_DIARIO!C145</f>
        <v>4061</v>
      </c>
      <c r="D144" s="3" t="str">
        <f>CONTROLE_DIARIO!D145</f>
        <v>J. Alessandro</v>
      </c>
      <c r="E144" s="3" t="str">
        <f>CONTROLE_DIARIO!E145</f>
        <v>Cancelado</v>
      </c>
      <c r="F144" s="3">
        <f>CONTROLE_DIARIO!F145</f>
        <v>0</v>
      </c>
      <c r="G144" s="3">
        <f>CONTROLE_DIARIO!G145</f>
        <v>0</v>
      </c>
      <c r="H144" s="3">
        <f>CONTROLE_DIARIO!H145</f>
        <v>0</v>
      </c>
      <c r="I144" s="3">
        <f>CONTROLE_DIARIO!I145</f>
        <v>0</v>
      </c>
      <c r="J144" s="3" t="str">
        <f>CONTROLE_DIARIO!J145</f>
        <v xml:space="preserve"> </v>
      </c>
      <c r="K144" s="3" t="str">
        <f>CONTROLE_DIARIO!K145</f>
        <v>NOK</v>
      </c>
      <c r="L144" s="51" t="str">
        <f>CONTROLE_DIARIO!L145</f>
        <v>Manifesto cancelado</v>
      </c>
      <c r="M144" s="51">
        <f>CONTROLE_DIARIO!M145</f>
        <v>0</v>
      </c>
      <c r="N144" s="3" t="str">
        <f>CONTROLE_DIARIO!N145</f>
        <v>Qualidade</v>
      </c>
      <c r="O144" s="3" t="str">
        <f>CONTROLE_DIARIO!O145</f>
        <v>Neudo</v>
      </c>
      <c r="P144" s="51" t="str">
        <f>CONTROLE_DIARIO!P145</f>
        <v>yyyy0100-Loja Asa Norte-4061</v>
      </c>
      <c r="Q144" s="6">
        <f t="shared" si="19"/>
        <v>0</v>
      </c>
      <c r="R144" s="54" t="str">
        <f t="shared" si="20"/>
        <v>Manifesto Cancelado</v>
      </c>
      <c r="S144" s="3" t="str">
        <f t="shared" si="21"/>
        <v>mai/yy</v>
      </c>
      <c r="T144" s="3">
        <f t="shared" si="22"/>
        <v>21</v>
      </c>
      <c r="U144" s="3">
        <f t="shared" si="23"/>
        <v>2026</v>
      </c>
      <c r="V144" s="6">
        <f t="shared" si="24"/>
        <v>0</v>
      </c>
      <c r="W144" s="3" t="str">
        <f t="shared" si="25"/>
        <v>CRÍTICO</v>
      </c>
    </row>
    <row r="145" spans="1:23" x14ac:dyDescent="0.25">
      <c r="A145" s="2">
        <f>CONTROLE_DIARIO!A146</f>
        <v>46162</v>
      </c>
      <c r="B145" s="51" t="str">
        <f>CONTROLE_DIARIO!B146</f>
        <v>Loja ADE</v>
      </c>
      <c r="C145" s="3">
        <f>CONTROLE_DIARIO!C146</f>
        <v>4062</v>
      </c>
      <c r="D145" s="3" t="str">
        <f>CONTROLE_DIARIO!D146</f>
        <v>João Lucas</v>
      </c>
      <c r="E145" s="3" t="str">
        <f>CONTROLE_DIARIO!E146</f>
        <v>Aberto</v>
      </c>
      <c r="F145" s="3">
        <f>CONTROLE_DIARIO!F146</f>
        <v>0</v>
      </c>
      <c r="G145" s="3">
        <f>CONTROLE_DIARIO!G146</f>
        <v>0</v>
      </c>
      <c r="H145" s="3">
        <f>CONTROLE_DIARIO!H146</f>
        <v>0</v>
      </c>
      <c r="I145" s="3">
        <f>CONTROLE_DIARIO!I146</f>
        <v>0</v>
      </c>
      <c r="J145" s="3" t="str">
        <f>CONTROLE_DIARIO!J146</f>
        <v>NÃO</v>
      </c>
      <c r="K145" s="3" t="str">
        <f>CONTROLE_DIARIO!K146</f>
        <v>NOK</v>
      </c>
      <c r="L145" s="51">
        <f>CONTROLE_DIARIO!L146</f>
        <v>0</v>
      </c>
      <c r="M145" s="51">
        <f>CONTROLE_DIARIO!M146</f>
        <v>0</v>
      </c>
      <c r="N145" s="3" t="str">
        <f>CONTROLE_DIARIO!N146</f>
        <v>Qualidade</v>
      </c>
      <c r="O145" s="3" t="str">
        <f>CONTROLE_DIARIO!O146</f>
        <v>Danilo</v>
      </c>
      <c r="P145" s="51" t="str">
        <f>CONTROLE_DIARIO!P146</f>
        <v>yyyy0100-Loja ADE-4062</v>
      </c>
      <c r="Q145" s="6">
        <f t="shared" si="19"/>
        <v>0</v>
      </c>
      <c r="R145" s="54" t="str">
        <f t="shared" si="20"/>
        <v>OK</v>
      </c>
      <c r="S145" s="3" t="str">
        <f t="shared" si="21"/>
        <v>mai/yy</v>
      </c>
      <c r="T145" s="3">
        <f t="shared" si="22"/>
        <v>21</v>
      </c>
      <c r="U145" s="3">
        <f t="shared" si="23"/>
        <v>2026</v>
      </c>
      <c r="V145" s="6">
        <f t="shared" si="24"/>
        <v>0</v>
      </c>
      <c r="W145" s="3" t="str">
        <f t="shared" si="25"/>
        <v>CRÍTICO</v>
      </c>
    </row>
    <row r="146" spans="1:23" x14ac:dyDescent="0.25">
      <c r="A146" s="2">
        <f>CONTROLE_DIARIO!A147</f>
        <v>46162</v>
      </c>
      <c r="B146" s="51" t="str">
        <f>CONTROLE_DIARIO!B147</f>
        <v>Loja Pistão</v>
      </c>
      <c r="C146" s="3">
        <f>CONTROLE_DIARIO!C147</f>
        <v>4063</v>
      </c>
      <c r="D146" s="3" t="str">
        <f>CONTROLE_DIARIO!D147</f>
        <v>João Lucas</v>
      </c>
      <c r="E146" s="3" t="str">
        <f>CONTROLE_DIARIO!E147</f>
        <v>Aberto</v>
      </c>
      <c r="F146" s="3">
        <f>CONTROLE_DIARIO!F147</f>
        <v>0</v>
      </c>
      <c r="G146" s="3">
        <f>CONTROLE_DIARIO!G147</f>
        <v>0</v>
      </c>
      <c r="H146" s="3">
        <f>CONTROLE_DIARIO!H147</f>
        <v>0</v>
      </c>
      <c r="I146" s="3">
        <f>CONTROLE_DIARIO!I147</f>
        <v>0</v>
      </c>
      <c r="J146" s="3" t="str">
        <f>CONTROLE_DIARIO!J147</f>
        <v>NÃO</v>
      </c>
      <c r="K146" s="3" t="str">
        <f>CONTROLE_DIARIO!K147</f>
        <v>NOK</v>
      </c>
      <c r="L146" s="51">
        <f>CONTROLE_DIARIO!L147</f>
        <v>0</v>
      </c>
      <c r="M146" s="51">
        <f>CONTROLE_DIARIO!M147</f>
        <v>0</v>
      </c>
      <c r="N146" s="3" t="str">
        <f>CONTROLE_DIARIO!N147</f>
        <v>Qualidade</v>
      </c>
      <c r="O146" s="3" t="str">
        <f>CONTROLE_DIARIO!O147</f>
        <v>Cinthya</v>
      </c>
      <c r="P146" s="51" t="str">
        <f>CONTROLE_DIARIO!P147</f>
        <v>yyyy0100-Loja Pistão-4063</v>
      </c>
      <c r="Q146" s="6">
        <f t="shared" si="19"/>
        <v>0</v>
      </c>
      <c r="R146" s="54" t="str">
        <f t="shared" si="20"/>
        <v>OK</v>
      </c>
      <c r="S146" s="3" t="str">
        <f t="shared" si="21"/>
        <v>mai/yy</v>
      </c>
      <c r="T146" s="3">
        <f t="shared" si="22"/>
        <v>21</v>
      </c>
      <c r="U146" s="3">
        <f t="shared" si="23"/>
        <v>2026</v>
      </c>
      <c r="V146" s="6">
        <f t="shared" si="24"/>
        <v>0</v>
      </c>
      <c r="W146" s="3" t="str">
        <f t="shared" si="25"/>
        <v>CRÍTICO</v>
      </c>
    </row>
    <row r="147" spans="1:23" x14ac:dyDescent="0.25">
      <c r="A147" s="2">
        <f>CONTROLE_DIARIO!A148</f>
        <v>46162</v>
      </c>
      <c r="B147" s="51" t="str">
        <f>CONTROLE_DIARIO!B148</f>
        <v>Loja Pistão</v>
      </c>
      <c r="C147" s="3">
        <f>CONTROLE_DIARIO!C148</f>
        <v>4064</v>
      </c>
      <c r="D147" s="3" t="str">
        <f>CONTROLE_DIARIO!D148</f>
        <v>João Lucas</v>
      </c>
      <c r="E147" s="3" t="str">
        <f>CONTROLE_DIARIO!E148</f>
        <v>Aberto</v>
      </c>
      <c r="F147" s="3">
        <f>CONTROLE_DIARIO!F148</f>
        <v>0</v>
      </c>
      <c r="G147" s="3">
        <f>CONTROLE_DIARIO!G148</f>
        <v>0</v>
      </c>
      <c r="H147" s="3">
        <f>CONTROLE_DIARIO!H148</f>
        <v>0</v>
      </c>
      <c r="I147" s="3">
        <f>CONTROLE_DIARIO!I148</f>
        <v>0</v>
      </c>
      <c r="J147" s="3" t="str">
        <f>CONTROLE_DIARIO!J148</f>
        <v>NÃO</v>
      </c>
      <c r="K147" s="3" t="str">
        <f>CONTROLE_DIARIO!K148</f>
        <v>NOK</v>
      </c>
      <c r="L147" s="51">
        <f>CONTROLE_DIARIO!L148</f>
        <v>0</v>
      </c>
      <c r="M147" s="51">
        <f>CONTROLE_DIARIO!M148</f>
        <v>0</v>
      </c>
      <c r="N147" s="3" t="str">
        <f>CONTROLE_DIARIO!N148</f>
        <v>Qualidade</v>
      </c>
      <c r="O147" s="3" t="str">
        <f>CONTROLE_DIARIO!O148</f>
        <v>Cinthya</v>
      </c>
      <c r="P147" s="51" t="str">
        <f>CONTROLE_DIARIO!P148</f>
        <v>yyyy0100-Loja Pistão-4064</v>
      </c>
      <c r="Q147" s="6">
        <f t="shared" si="19"/>
        <v>0</v>
      </c>
      <c r="R147" s="54" t="str">
        <f t="shared" si="20"/>
        <v>OK</v>
      </c>
      <c r="S147" s="3" t="str">
        <f t="shared" si="21"/>
        <v>mai/yy</v>
      </c>
      <c r="T147" s="3">
        <f t="shared" si="22"/>
        <v>21</v>
      </c>
      <c r="U147" s="3">
        <f t="shared" si="23"/>
        <v>2026</v>
      </c>
      <c r="V147" s="6">
        <f t="shared" si="24"/>
        <v>0</v>
      </c>
      <c r="W147" s="3" t="str">
        <f t="shared" si="25"/>
        <v>CRÍTICO</v>
      </c>
    </row>
    <row r="148" spans="1:23" x14ac:dyDescent="0.25">
      <c r="A148" s="2">
        <f>CONTROLE_DIARIO!A149</f>
        <v>46162</v>
      </c>
      <c r="B148" s="51" t="str">
        <f>CONTROLE_DIARIO!B149</f>
        <v>Loja ADE</v>
      </c>
      <c r="C148" s="3">
        <f>CONTROLE_DIARIO!C149</f>
        <v>4065</v>
      </c>
      <c r="D148" s="3" t="str">
        <f>CONTROLE_DIARIO!D149</f>
        <v>João Lucas</v>
      </c>
      <c r="E148" s="3" t="str">
        <f>CONTROLE_DIARIO!E149</f>
        <v>Aberto</v>
      </c>
      <c r="F148" s="3">
        <f>CONTROLE_DIARIO!F149</f>
        <v>0</v>
      </c>
      <c r="G148" s="3">
        <f>CONTROLE_DIARIO!G149</f>
        <v>0</v>
      </c>
      <c r="H148" s="3">
        <f>CONTROLE_DIARIO!H149</f>
        <v>0</v>
      </c>
      <c r="I148" s="3">
        <f>CONTROLE_DIARIO!I149</f>
        <v>0</v>
      </c>
      <c r="J148" s="3" t="str">
        <f>CONTROLE_DIARIO!J149</f>
        <v>NÃO</v>
      </c>
      <c r="K148" s="3" t="str">
        <f>CONTROLE_DIARIO!K149</f>
        <v>NOK</v>
      </c>
      <c r="L148" s="51">
        <f>CONTROLE_DIARIO!L149</f>
        <v>0</v>
      </c>
      <c r="M148" s="51">
        <f>CONTROLE_DIARIO!M149</f>
        <v>0</v>
      </c>
      <c r="N148" s="3" t="str">
        <f>CONTROLE_DIARIO!N149</f>
        <v>Qualidade</v>
      </c>
      <c r="O148" s="3" t="str">
        <f>CONTROLE_DIARIO!O149</f>
        <v>Danilo</v>
      </c>
      <c r="P148" s="51" t="str">
        <f>CONTROLE_DIARIO!P149</f>
        <v>yyyy0100-Loja ADE-4065</v>
      </c>
      <c r="Q148" s="6">
        <f t="shared" si="19"/>
        <v>0</v>
      </c>
      <c r="R148" s="54" t="str">
        <f t="shared" si="20"/>
        <v>OK</v>
      </c>
      <c r="S148" s="3" t="str">
        <f t="shared" si="21"/>
        <v>mai/yy</v>
      </c>
      <c r="T148" s="3">
        <f t="shared" si="22"/>
        <v>21</v>
      </c>
      <c r="U148" s="3">
        <f t="shared" si="23"/>
        <v>2026</v>
      </c>
      <c r="V148" s="6">
        <f t="shared" si="24"/>
        <v>0</v>
      </c>
      <c r="W148" s="3" t="str">
        <f t="shared" si="25"/>
        <v>CRÍTICO</v>
      </c>
    </row>
    <row r="149" spans="1:23" x14ac:dyDescent="0.25">
      <c r="A149" s="2">
        <f>CONTROLE_DIARIO!A150</f>
        <v>46162</v>
      </c>
      <c r="B149" s="51" t="str">
        <f>CONTROLE_DIARIO!B150</f>
        <v>Loja Asa Norte</v>
      </c>
      <c r="C149" s="3">
        <f>CONTROLE_DIARIO!C150</f>
        <v>4066</v>
      </c>
      <c r="D149" s="3" t="str">
        <f>CONTROLE_DIARIO!D150</f>
        <v>J. Alessandro</v>
      </c>
      <c r="E149" s="3" t="str">
        <f>CONTROLE_DIARIO!E150</f>
        <v>Entrega Total</v>
      </c>
      <c r="F149" s="3" t="str">
        <f>CONTROLE_DIARIO!F150</f>
        <v>NÃO</v>
      </c>
      <c r="G149" s="3" t="str">
        <f>CONTROLE_DIARIO!G150</f>
        <v>NÃO</v>
      </c>
      <c r="H149" s="3" t="str">
        <f>CONTROLE_DIARIO!H150</f>
        <v>NÃO</v>
      </c>
      <c r="I149" s="3" t="str">
        <f>CONTROLE_DIARIO!I150</f>
        <v>SIM</v>
      </c>
      <c r="J149" s="3" t="str">
        <f>CONTROLE_DIARIO!J150</f>
        <v>NÃO</v>
      </c>
      <c r="K149" s="3" t="str">
        <f>CONTROLE_DIARIO!K150</f>
        <v>NOK</v>
      </c>
      <c r="L149" s="51" t="str">
        <f>CONTROLE_DIARIO!L150</f>
        <v>Outro</v>
      </c>
      <c r="M149" s="51" t="str">
        <f>CONTROLE_DIARIO!M150</f>
        <v>Manifesto não entregue pelo app</v>
      </c>
      <c r="N149" s="3" t="str">
        <f>CONTROLE_DIARIO!N150</f>
        <v>Qualidade</v>
      </c>
      <c r="O149" s="3" t="str">
        <f>CONTROLE_DIARIO!O150</f>
        <v>Neudo</v>
      </c>
      <c r="P149" s="51" t="str">
        <f>CONTROLE_DIARIO!P150</f>
        <v>yyyy0100-Loja Asa Norte-4066</v>
      </c>
      <c r="Q149" s="6">
        <f t="shared" si="19"/>
        <v>0.3</v>
      </c>
      <c r="R149" s="54" t="str">
        <f t="shared" si="20"/>
        <v>FORA APP</v>
      </c>
      <c r="S149" s="3" t="str">
        <f t="shared" si="21"/>
        <v>mai/yy</v>
      </c>
      <c r="T149" s="3">
        <f t="shared" si="22"/>
        <v>21</v>
      </c>
      <c r="U149" s="3">
        <f t="shared" si="23"/>
        <v>2026</v>
      </c>
      <c r="V149" s="6">
        <f t="shared" si="24"/>
        <v>0.3</v>
      </c>
      <c r="W149" s="3" t="str">
        <f t="shared" si="25"/>
        <v>CRÍTICO</v>
      </c>
    </row>
    <row r="150" spans="1:23" x14ac:dyDescent="0.25">
      <c r="A150" s="2">
        <f>CONTROLE_DIARIO!A151</f>
        <v>46162</v>
      </c>
      <c r="B150" s="51" t="str">
        <f>CONTROLE_DIARIO!B151</f>
        <v>Loja Asa Norte</v>
      </c>
      <c r="C150" s="3">
        <f>CONTROLE_DIARIO!C151</f>
        <v>4067</v>
      </c>
      <c r="D150" s="3" t="str">
        <f>CONTROLE_DIARIO!D151</f>
        <v>J. Alessandro</v>
      </c>
      <c r="E150" s="3" t="str">
        <f>CONTROLE_DIARIO!E151</f>
        <v>Entrega Total</v>
      </c>
      <c r="F150" s="3" t="str">
        <f>CONTROLE_DIARIO!F151</f>
        <v>NÃO</v>
      </c>
      <c r="G150" s="3" t="str">
        <f>CONTROLE_DIARIO!G151</f>
        <v>NÃO</v>
      </c>
      <c r="H150" s="3" t="str">
        <f>CONTROLE_DIARIO!H151</f>
        <v>NÃO</v>
      </c>
      <c r="I150" s="3" t="str">
        <f>CONTROLE_DIARIO!I151</f>
        <v>SIM</v>
      </c>
      <c r="J150" s="3" t="str">
        <f>CONTROLE_DIARIO!J151</f>
        <v>NÃO</v>
      </c>
      <c r="K150" s="3" t="str">
        <f>CONTROLE_DIARIO!K151</f>
        <v>NOK</v>
      </c>
      <c r="L150" s="51" t="str">
        <f>CONTROLE_DIARIO!L151</f>
        <v>Outro</v>
      </c>
      <c r="M150" s="51" t="str">
        <f>CONTROLE_DIARIO!M151</f>
        <v>Manifesto não entregue pelo app</v>
      </c>
      <c r="N150" s="3" t="str">
        <f>CONTROLE_DIARIO!N151</f>
        <v>Qualidade</v>
      </c>
      <c r="O150" s="3" t="str">
        <f>CONTROLE_DIARIO!O151</f>
        <v>Neudo</v>
      </c>
      <c r="P150" s="51" t="str">
        <f>CONTROLE_DIARIO!P151</f>
        <v>yyyy0100-Loja Asa Norte-4067</v>
      </c>
      <c r="Q150" s="6">
        <f t="shared" si="19"/>
        <v>0.3</v>
      </c>
      <c r="R150" s="54" t="str">
        <f t="shared" si="20"/>
        <v>FORA APP</v>
      </c>
      <c r="S150" s="3" t="str">
        <f t="shared" si="21"/>
        <v>mai/yy</v>
      </c>
      <c r="T150" s="3">
        <f t="shared" si="22"/>
        <v>21</v>
      </c>
      <c r="U150" s="3">
        <f t="shared" si="23"/>
        <v>2026</v>
      </c>
      <c r="V150" s="6">
        <f t="shared" si="24"/>
        <v>0.3</v>
      </c>
      <c r="W150" s="3" t="str">
        <f t="shared" si="25"/>
        <v>CRÍTICO</v>
      </c>
    </row>
    <row r="151" spans="1:23" x14ac:dyDescent="0.25">
      <c r="A151" s="2">
        <f>CONTROLE_DIARIO!A152</f>
        <v>46162</v>
      </c>
      <c r="B151" s="51" t="str">
        <f>CONTROLE_DIARIO!B152</f>
        <v>Loja Pistão</v>
      </c>
      <c r="C151" s="3">
        <f>CONTROLE_DIARIO!C152</f>
        <v>4068</v>
      </c>
      <c r="D151" s="3" t="str">
        <f>CONTROLE_DIARIO!D152</f>
        <v>João Lucas</v>
      </c>
      <c r="E151" s="3" t="str">
        <f>CONTROLE_DIARIO!E152</f>
        <v>Aberto</v>
      </c>
      <c r="F151" s="3">
        <f>CONTROLE_DIARIO!F152</f>
        <v>0</v>
      </c>
      <c r="G151" s="3">
        <f>CONTROLE_DIARIO!G152</f>
        <v>0</v>
      </c>
      <c r="H151" s="3">
        <f>CONTROLE_DIARIO!H152</f>
        <v>0</v>
      </c>
      <c r="I151" s="3">
        <f>CONTROLE_DIARIO!I152</f>
        <v>0</v>
      </c>
      <c r="J151" s="3" t="str">
        <f>CONTROLE_DIARIO!J152</f>
        <v>NÃO</v>
      </c>
      <c r="K151" s="3" t="str">
        <f>CONTROLE_DIARIO!K152</f>
        <v>NOK</v>
      </c>
      <c r="L151" s="51">
        <f>CONTROLE_DIARIO!L152</f>
        <v>0</v>
      </c>
      <c r="M151" s="51">
        <f>CONTROLE_DIARIO!M152</f>
        <v>0</v>
      </c>
      <c r="N151" s="3" t="str">
        <f>CONTROLE_DIARIO!N152</f>
        <v>Qualidade</v>
      </c>
      <c r="O151" s="3" t="str">
        <f>CONTROLE_DIARIO!O152</f>
        <v>Cinthya</v>
      </c>
      <c r="P151" s="51" t="str">
        <f>CONTROLE_DIARIO!P152</f>
        <v>yyyy0100-Loja Pistão-4068</v>
      </c>
      <c r="Q151" s="6">
        <f t="shared" si="19"/>
        <v>0</v>
      </c>
      <c r="R151" s="54" t="str">
        <f t="shared" si="20"/>
        <v>OK</v>
      </c>
      <c r="S151" s="3" t="str">
        <f t="shared" si="21"/>
        <v>mai/yy</v>
      </c>
      <c r="T151" s="3">
        <f t="shared" si="22"/>
        <v>21</v>
      </c>
      <c r="U151" s="3">
        <f t="shared" si="23"/>
        <v>2026</v>
      </c>
      <c r="V151" s="6">
        <f t="shared" si="24"/>
        <v>0</v>
      </c>
      <c r="W151" s="3" t="str">
        <f t="shared" si="25"/>
        <v>CRÍTICO</v>
      </c>
    </row>
    <row r="152" spans="1:23" x14ac:dyDescent="0.25">
      <c r="A152" s="2">
        <f>CONTROLE_DIARIO!A153</f>
        <v>46162</v>
      </c>
      <c r="B152" s="51" t="str">
        <f>CONTROLE_DIARIO!B153</f>
        <v>Loja Asa Norte</v>
      </c>
      <c r="C152" s="3">
        <f>CONTROLE_DIARIO!C153</f>
        <v>4069</v>
      </c>
      <c r="D152" s="3" t="str">
        <f>CONTROLE_DIARIO!D153</f>
        <v>J. Alessandro</v>
      </c>
      <c r="E152" s="3" t="str">
        <f>CONTROLE_DIARIO!E153</f>
        <v>Entrega Total</v>
      </c>
      <c r="F152" s="3" t="str">
        <f>CONTROLE_DIARIO!F153</f>
        <v>NÃO</v>
      </c>
      <c r="G152" s="3" t="str">
        <f>CONTROLE_DIARIO!G153</f>
        <v>NÃO</v>
      </c>
      <c r="H152" s="3" t="str">
        <f>CONTROLE_DIARIO!H153</f>
        <v>NÃO</v>
      </c>
      <c r="I152" s="3" t="str">
        <f>CONTROLE_DIARIO!I153</f>
        <v>SIM</v>
      </c>
      <c r="J152" s="3" t="str">
        <f>CONTROLE_DIARIO!J153</f>
        <v>NÃO</v>
      </c>
      <c r="K152" s="3" t="str">
        <f>CONTROLE_DIARIO!K153</f>
        <v>NOK</v>
      </c>
      <c r="L152" s="51" t="str">
        <f>CONTROLE_DIARIO!L153</f>
        <v>Outro</v>
      </c>
      <c r="M152" s="51" t="str">
        <f>CONTROLE_DIARIO!M153</f>
        <v>Manifesto não entregue pelo app</v>
      </c>
      <c r="N152" s="3" t="str">
        <f>CONTROLE_DIARIO!N153</f>
        <v>Qualidade</v>
      </c>
      <c r="O152" s="3" t="str">
        <f>CONTROLE_DIARIO!O153</f>
        <v>Neudo</v>
      </c>
      <c r="P152" s="51" t="str">
        <f>CONTROLE_DIARIO!P153</f>
        <v>yyyy0100-Loja Asa Norte-4069</v>
      </c>
      <c r="Q152" s="6">
        <f t="shared" si="19"/>
        <v>0.3</v>
      </c>
      <c r="R152" s="54" t="str">
        <f t="shared" si="20"/>
        <v>FORA APP</v>
      </c>
      <c r="S152" s="3" t="str">
        <f t="shared" si="21"/>
        <v>mai/yy</v>
      </c>
      <c r="T152" s="3">
        <f t="shared" si="22"/>
        <v>21</v>
      </c>
      <c r="U152" s="3">
        <f t="shared" si="23"/>
        <v>2026</v>
      </c>
      <c r="V152" s="6">
        <f t="shared" si="24"/>
        <v>0.3</v>
      </c>
      <c r="W152" s="3" t="str">
        <f t="shared" si="25"/>
        <v>CRÍTICO</v>
      </c>
    </row>
    <row r="153" spans="1:23" x14ac:dyDescent="0.25">
      <c r="A153" s="2">
        <f>CONTROLE_DIARIO!A154</f>
        <v>46162</v>
      </c>
      <c r="B153" s="51" t="str">
        <f>CONTROLE_DIARIO!B154</f>
        <v>Loja ADE</v>
      </c>
      <c r="C153" s="3">
        <f>CONTROLE_DIARIO!C154</f>
        <v>4070</v>
      </c>
      <c r="D153" s="3" t="str">
        <f>CONTROLE_DIARIO!D154</f>
        <v>João Lucas</v>
      </c>
      <c r="E153" s="3" t="str">
        <f>CONTROLE_DIARIO!E154</f>
        <v>Aberto</v>
      </c>
      <c r="F153" s="3">
        <f>CONTROLE_DIARIO!F154</f>
        <v>0</v>
      </c>
      <c r="G153" s="3">
        <f>CONTROLE_DIARIO!G154</f>
        <v>0</v>
      </c>
      <c r="H153" s="3">
        <f>CONTROLE_DIARIO!H154</f>
        <v>0</v>
      </c>
      <c r="I153" s="3">
        <f>CONTROLE_DIARIO!I154</f>
        <v>0</v>
      </c>
      <c r="J153" s="3" t="str">
        <f>CONTROLE_DIARIO!J154</f>
        <v>NÃO</v>
      </c>
      <c r="K153" s="3" t="str">
        <f>CONTROLE_DIARIO!K154</f>
        <v>NOK</v>
      </c>
      <c r="L153" s="51">
        <f>CONTROLE_DIARIO!L154</f>
        <v>0</v>
      </c>
      <c r="M153" s="51">
        <f>CONTROLE_DIARIO!M154</f>
        <v>0</v>
      </c>
      <c r="N153" s="3" t="str">
        <f>CONTROLE_DIARIO!N154</f>
        <v>Qualidade</v>
      </c>
      <c r="O153" s="3" t="str">
        <f>CONTROLE_DIARIO!O154</f>
        <v>Danilo</v>
      </c>
      <c r="P153" s="51" t="str">
        <f>CONTROLE_DIARIO!P154</f>
        <v>yyyy0100-Loja ADE-4070</v>
      </c>
      <c r="Q153" s="6">
        <f t="shared" si="19"/>
        <v>0</v>
      </c>
      <c r="R153" s="54" t="str">
        <f t="shared" si="20"/>
        <v>OK</v>
      </c>
      <c r="S153" s="3" t="str">
        <f t="shared" si="21"/>
        <v>mai/yy</v>
      </c>
      <c r="T153" s="3">
        <f t="shared" si="22"/>
        <v>21</v>
      </c>
      <c r="U153" s="3">
        <f t="shared" si="23"/>
        <v>2026</v>
      </c>
      <c r="V153" s="6">
        <f t="shared" si="24"/>
        <v>0</v>
      </c>
      <c r="W153" s="3" t="str">
        <f t="shared" si="25"/>
        <v>CRÍTICO</v>
      </c>
    </row>
    <row r="154" spans="1:23" x14ac:dyDescent="0.25">
      <c r="A154" s="2">
        <f>CONTROLE_DIARIO!A155</f>
        <v>46162</v>
      </c>
      <c r="B154" s="51" t="str">
        <f>CONTROLE_DIARIO!B155</f>
        <v>Loja ADE</v>
      </c>
      <c r="C154" s="3">
        <f>CONTROLE_DIARIO!C155</f>
        <v>4071</v>
      </c>
      <c r="D154" s="3" t="str">
        <f>CONTROLE_DIARIO!D155</f>
        <v>João Lucas</v>
      </c>
      <c r="E154" s="3" t="str">
        <f>CONTROLE_DIARIO!E155</f>
        <v>Aberto</v>
      </c>
      <c r="F154" s="3">
        <f>CONTROLE_DIARIO!F155</f>
        <v>0</v>
      </c>
      <c r="G154" s="3">
        <f>CONTROLE_DIARIO!G155</f>
        <v>0</v>
      </c>
      <c r="H154" s="3">
        <f>CONTROLE_DIARIO!H155</f>
        <v>0</v>
      </c>
      <c r="I154" s="3">
        <f>CONTROLE_DIARIO!I155</f>
        <v>0</v>
      </c>
      <c r="J154" s="3" t="str">
        <f>CONTROLE_DIARIO!J155</f>
        <v>NÃO</v>
      </c>
      <c r="K154" s="3" t="str">
        <f>CONTROLE_DIARIO!K155</f>
        <v>NOK</v>
      </c>
      <c r="L154" s="51">
        <f>CONTROLE_DIARIO!L155</f>
        <v>0</v>
      </c>
      <c r="M154" s="51">
        <f>CONTROLE_DIARIO!M155</f>
        <v>0</v>
      </c>
      <c r="N154" s="3" t="str">
        <f>CONTROLE_DIARIO!N155</f>
        <v>Qualidade</v>
      </c>
      <c r="O154" s="3" t="str">
        <f>CONTROLE_DIARIO!O155</f>
        <v>Danilo</v>
      </c>
      <c r="P154" s="51" t="str">
        <f>CONTROLE_DIARIO!P155</f>
        <v>yyyy0100-Loja ADE-4071</v>
      </c>
      <c r="Q154" s="6">
        <f t="shared" si="19"/>
        <v>0</v>
      </c>
      <c r="R154" s="54" t="str">
        <f t="shared" si="20"/>
        <v>OK</v>
      </c>
      <c r="S154" s="3" t="str">
        <f t="shared" si="21"/>
        <v>mai/yy</v>
      </c>
      <c r="T154" s="3">
        <f t="shared" si="22"/>
        <v>21</v>
      </c>
      <c r="U154" s="3">
        <f t="shared" si="23"/>
        <v>2026</v>
      </c>
      <c r="V154" s="6">
        <f t="shared" si="24"/>
        <v>0</v>
      </c>
      <c r="W154" s="3" t="str">
        <f t="shared" si="25"/>
        <v>CRÍTICO</v>
      </c>
    </row>
    <row r="155" spans="1:23" x14ac:dyDescent="0.25">
      <c r="A155" s="2">
        <f>CONTROLE_DIARIO!A156</f>
        <v>46163</v>
      </c>
      <c r="B155" s="51" t="str">
        <f>CONTROLE_DIARIO!B156</f>
        <v>Loja ADE</v>
      </c>
      <c r="C155" s="3">
        <f>CONTROLE_DIARIO!C156</f>
        <v>4072</v>
      </c>
      <c r="D155" s="3" t="str">
        <f>CONTROLE_DIARIO!D156</f>
        <v>João Lucas</v>
      </c>
      <c r="E155" s="3" t="str">
        <f>CONTROLE_DIARIO!E156</f>
        <v>Aberto</v>
      </c>
      <c r="F155" s="3">
        <f>CONTROLE_DIARIO!F156</f>
        <v>0</v>
      </c>
      <c r="G155" s="3">
        <f>CONTROLE_DIARIO!G156</f>
        <v>0</v>
      </c>
      <c r="H155" s="3">
        <f>CONTROLE_DIARIO!H156</f>
        <v>0</v>
      </c>
      <c r="I155" s="3">
        <f>CONTROLE_DIARIO!I156</f>
        <v>0</v>
      </c>
      <c r="J155" s="3" t="str">
        <f>CONTROLE_DIARIO!J156</f>
        <v>NÃO</v>
      </c>
      <c r="K155" s="3" t="str">
        <f>CONTROLE_DIARIO!K156</f>
        <v>NOK</v>
      </c>
      <c r="L155" s="51">
        <f>CONTROLE_DIARIO!L156</f>
        <v>0</v>
      </c>
      <c r="M155" s="51">
        <f>CONTROLE_DIARIO!M156</f>
        <v>0</v>
      </c>
      <c r="N155" s="3" t="str">
        <f>CONTROLE_DIARIO!N156</f>
        <v>Qualidade</v>
      </c>
      <c r="O155" s="3" t="str">
        <f>CONTROLE_DIARIO!O156</f>
        <v>Danilo</v>
      </c>
      <c r="P155" s="51" t="str">
        <f>CONTROLE_DIARIO!P156</f>
        <v>yyyy0100-Loja ADE-4072</v>
      </c>
      <c r="Q155" s="6">
        <f t="shared" si="19"/>
        <v>0</v>
      </c>
      <c r="R155" s="54" t="str">
        <f t="shared" si="20"/>
        <v>OK</v>
      </c>
      <c r="S155" s="3" t="str">
        <f t="shared" si="21"/>
        <v>mai/yy</v>
      </c>
      <c r="T155" s="3">
        <f t="shared" si="22"/>
        <v>21</v>
      </c>
      <c r="U155" s="3">
        <f t="shared" si="23"/>
        <v>2026</v>
      </c>
      <c r="V155" s="6">
        <f t="shared" si="24"/>
        <v>0</v>
      </c>
      <c r="W155" s="3" t="str">
        <f t="shared" si="25"/>
        <v>CRÍTICO</v>
      </c>
    </row>
    <row r="156" spans="1:23" x14ac:dyDescent="0.25">
      <c r="A156" s="2">
        <f>CONTROLE_DIARIO!A157</f>
        <v>46163</v>
      </c>
      <c r="B156" s="51" t="str">
        <f>CONTROLE_DIARIO!B157</f>
        <v>Loja ADE</v>
      </c>
      <c r="C156" s="3">
        <f>CONTROLE_DIARIO!C157</f>
        <v>4073</v>
      </c>
      <c r="D156" s="3" t="str">
        <f>CONTROLE_DIARIO!D157</f>
        <v>João Lucas</v>
      </c>
      <c r="E156" s="3" t="str">
        <f>CONTROLE_DIARIO!E157</f>
        <v>Aberto</v>
      </c>
      <c r="F156" s="3">
        <f>CONTROLE_DIARIO!F157</f>
        <v>0</v>
      </c>
      <c r="G156" s="3">
        <f>CONTROLE_DIARIO!G157</f>
        <v>0</v>
      </c>
      <c r="H156" s="3">
        <f>CONTROLE_DIARIO!H157</f>
        <v>0</v>
      </c>
      <c r="I156" s="3">
        <f>CONTROLE_DIARIO!I157</f>
        <v>0</v>
      </c>
      <c r="J156" s="3" t="str">
        <f>CONTROLE_DIARIO!J157</f>
        <v>NÃO</v>
      </c>
      <c r="K156" s="3" t="str">
        <f>CONTROLE_DIARIO!K157</f>
        <v>NOK</v>
      </c>
      <c r="L156" s="51">
        <f>CONTROLE_DIARIO!L157</f>
        <v>0</v>
      </c>
      <c r="M156" s="51">
        <f>CONTROLE_DIARIO!M157</f>
        <v>0</v>
      </c>
      <c r="N156" s="3" t="str">
        <f>CONTROLE_DIARIO!N157</f>
        <v>Qualidade</v>
      </c>
      <c r="O156" s="3" t="str">
        <f>CONTROLE_DIARIO!O157</f>
        <v>Danilo</v>
      </c>
      <c r="P156" s="51" t="str">
        <f>CONTROLE_DIARIO!P157</f>
        <v>yyyy0100-Loja ADE-4073</v>
      </c>
      <c r="Q156" s="6">
        <f t="shared" si="19"/>
        <v>0</v>
      </c>
      <c r="R156" s="54" t="str">
        <f t="shared" si="20"/>
        <v>OK</v>
      </c>
      <c r="S156" s="3" t="str">
        <f t="shared" si="21"/>
        <v>mai/yy</v>
      </c>
      <c r="T156" s="3">
        <f t="shared" si="22"/>
        <v>21</v>
      </c>
      <c r="U156" s="3">
        <f t="shared" si="23"/>
        <v>2026</v>
      </c>
      <c r="V156" s="6">
        <f t="shared" si="24"/>
        <v>0</v>
      </c>
      <c r="W156" s="3" t="str">
        <f t="shared" si="25"/>
        <v>CRÍTICO</v>
      </c>
    </row>
    <row r="157" spans="1:23" x14ac:dyDescent="0.25">
      <c r="A157" s="2">
        <f>CONTROLE_DIARIO!A158</f>
        <v>46163</v>
      </c>
      <c r="B157" s="51" t="str">
        <f>CONTROLE_DIARIO!B158</f>
        <v>Loja Pistão</v>
      </c>
      <c r="C157" s="3">
        <f>CONTROLE_DIARIO!C158</f>
        <v>4074</v>
      </c>
      <c r="D157" s="3" t="str">
        <f>CONTROLE_DIARIO!D158</f>
        <v>João Lucas</v>
      </c>
      <c r="E157" s="3" t="str">
        <f>CONTROLE_DIARIO!E158</f>
        <v>Aberto</v>
      </c>
      <c r="F157" s="3">
        <f>CONTROLE_DIARIO!F158</f>
        <v>0</v>
      </c>
      <c r="G157" s="3">
        <f>CONTROLE_DIARIO!G158</f>
        <v>0</v>
      </c>
      <c r="H157" s="3">
        <f>CONTROLE_DIARIO!H158</f>
        <v>0</v>
      </c>
      <c r="I157" s="3">
        <f>CONTROLE_DIARIO!I158</f>
        <v>0</v>
      </c>
      <c r="J157" s="3" t="str">
        <f>CONTROLE_DIARIO!J158</f>
        <v>NÃO</v>
      </c>
      <c r="K157" s="3" t="str">
        <f>CONTROLE_DIARIO!K158</f>
        <v>NOK</v>
      </c>
      <c r="L157" s="51">
        <f>CONTROLE_DIARIO!L158</f>
        <v>0</v>
      </c>
      <c r="M157" s="51">
        <f>CONTROLE_DIARIO!M158</f>
        <v>0</v>
      </c>
      <c r="N157" s="3" t="str">
        <f>CONTROLE_DIARIO!N158</f>
        <v>Qualidade</v>
      </c>
      <c r="O157" s="3" t="str">
        <f>CONTROLE_DIARIO!O158</f>
        <v>Cinthya</v>
      </c>
      <c r="P157" s="51" t="str">
        <f>CONTROLE_DIARIO!P158</f>
        <v>yyyy0100-Loja Pistão-4074</v>
      </c>
      <c r="Q157" s="6">
        <f t="shared" si="19"/>
        <v>0</v>
      </c>
      <c r="R157" s="54" t="str">
        <f t="shared" si="20"/>
        <v>OK</v>
      </c>
      <c r="S157" s="3" t="str">
        <f t="shared" si="21"/>
        <v>mai/yy</v>
      </c>
      <c r="T157" s="3">
        <f t="shared" si="22"/>
        <v>21</v>
      </c>
      <c r="U157" s="3">
        <f t="shared" si="23"/>
        <v>2026</v>
      </c>
      <c r="V157" s="6">
        <f t="shared" si="24"/>
        <v>0</v>
      </c>
      <c r="W157" s="3" t="str">
        <f t="shared" si="25"/>
        <v>CRÍTICO</v>
      </c>
    </row>
    <row r="158" spans="1:23" x14ac:dyDescent="0.25">
      <c r="A158" s="2">
        <f>CONTROLE_DIARIO!A159</f>
        <v>46163</v>
      </c>
      <c r="B158" s="51" t="str">
        <f>CONTROLE_DIARIO!B159</f>
        <v>Loja Asa Norte</v>
      </c>
      <c r="C158" s="3">
        <f>CONTROLE_DIARIO!C159</f>
        <v>4075</v>
      </c>
      <c r="D158" s="3" t="str">
        <f>CONTROLE_DIARIO!D159</f>
        <v>J. Alessandro</v>
      </c>
      <c r="E158" s="3" t="str">
        <f>CONTROLE_DIARIO!E159</f>
        <v>Entrega Total</v>
      </c>
      <c r="F158" s="3" t="str">
        <f>CONTROLE_DIARIO!F159</f>
        <v>NÃO</v>
      </c>
      <c r="G158" s="3" t="str">
        <f>CONTROLE_DIARIO!G159</f>
        <v>NÃO</v>
      </c>
      <c r="H158" s="3" t="str">
        <f>CONTROLE_DIARIO!H159</f>
        <v>NÃO</v>
      </c>
      <c r="I158" s="3" t="str">
        <f>CONTROLE_DIARIO!I159</f>
        <v>SIM</v>
      </c>
      <c r="J158" s="3" t="str">
        <f>CONTROLE_DIARIO!J159</f>
        <v>NÃO</v>
      </c>
      <c r="K158" s="3" t="str">
        <f>CONTROLE_DIARIO!K159</f>
        <v>NOK</v>
      </c>
      <c r="L158" s="51" t="str">
        <f>CONTROLE_DIARIO!L159</f>
        <v>Outro</v>
      </c>
      <c r="M158" s="51" t="str">
        <f>CONTROLE_DIARIO!M159</f>
        <v>Manifesto não entregue pelo app</v>
      </c>
      <c r="N158" s="3" t="str">
        <f>CONTROLE_DIARIO!N159</f>
        <v>Qualidade</v>
      </c>
      <c r="O158" s="3" t="str">
        <f>CONTROLE_DIARIO!O159</f>
        <v>Neudo</v>
      </c>
      <c r="P158" s="51" t="str">
        <f>CONTROLE_DIARIO!P159</f>
        <v>yyyy0100-Loja Asa Norte-4075</v>
      </c>
      <c r="Q158" s="6">
        <f t="shared" si="19"/>
        <v>0.3</v>
      </c>
      <c r="R158" s="54" t="str">
        <f t="shared" si="20"/>
        <v>FORA APP</v>
      </c>
      <c r="S158" s="3" t="str">
        <f t="shared" si="21"/>
        <v>mai/yy</v>
      </c>
      <c r="T158" s="3">
        <f t="shared" si="22"/>
        <v>21</v>
      </c>
      <c r="U158" s="3">
        <f t="shared" si="23"/>
        <v>2026</v>
      </c>
      <c r="V158" s="6">
        <f t="shared" si="24"/>
        <v>0.3</v>
      </c>
      <c r="W158" s="3" t="str">
        <f t="shared" si="25"/>
        <v>CRÍTICO</v>
      </c>
    </row>
    <row r="159" spans="1:23" x14ac:dyDescent="0.25">
      <c r="A159" s="2">
        <f>CONTROLE_DIARIO!A160</f>
        <v>46163</v>
      </c>
      <c r="B159" s="51" t="str">
        <f>CONTROLE_DIARIO!B160</f>
        <v>Loja ADE</v>
      </c>
      <c r="C159" s="3">
        <f>CONTROLE_DIARIO!C160</f>
        <v>4076</v>
      </c>
      <c r="D159" s="3" t="str">
        <f>CONTROLE_DIARIO!D160</f>
        <v>João Lucas</v>
      </c>
      <c r="E159" s="3" t="str">
        <f>CONTROLE_DIARIO!E160</f>
        <v>Aberto</v>
      </c>
      <c r="F159" s="3">
        <f>CONTROLE_DIARIO!F160</f>
        <v>0</v>
      </c>
      <c r="G159" s="3">
        <f>CONTROLE_DIARIO!G160</f>
        <v>0</v>
      </c>
      <c r="H159" s="3">
        <f>CONTROLE_DIARIO!H160</f>
        <v>0</v>
      </c>
      <c r="I159" s="3">
        <f>CONTROLE_DIARIO!I160</f>
        <v>0</v>
      </c>
      <c r="J159" s="3" t="str">
        <f>CONTROLE_DIARIO!J160</f>
        <v>NÃO</v>
      </c>
      <c r="K159" s="3" t="str">
        <f>CONTROLE_DIARIO!K160</f>
        <v>NOK</v>
      </c>
      <c r="L159" s="51">
        <f>CONTROLE_DIARIO!L160</f>
        <v>0</v>
      </c>
      <c r="M159" s="51">
        <f>CONTROLE_DIARIO!M160</f>
        <v>0</v>
      </c>
      <c r="N159" s="3" t="str">
        <f>CONTROLE_DIARIO!N160</f>
        <v>Qualidade</v>
      </c>
      <c r="O159" s="3" t="str">
        <f>CONTROLE_DIARIO!O160</f>
        <v>Danilo</v>
      </c>
      <c r="P159" s="51" t="str">
        <f>CONTROLE_DIARIO!P160</f>
        <v>yyyy0100-Loja ADE-4076</v>
      </c>
      <c r="Q159" s="6">
        <f t="shared" si="19"/>
        <v>0</v>
      </c>
      <c r="R159" s="54" t="str">
        <f t="shared" si="20"/>
        <v>OK</v>
      </c>
      <c r="S159" s="3" t="str">
        <f t="shared" si="21"/>
        <v>mai/yy</v>
      </c>
      <c r="T159" s="3">
        <f t="shared" si="22"/>
        <v>21</v>
      </c>
      <c r="U159" s="3">
        <f t="shared" si="23"/>
        <v>2026</v>
      </c>
      <c r="V159" s="6">
        <f t="shared" si="24"/>
        <v>0</v>
      </c>
      <c r="W159" s="3" t="str">
        <f t="shared" si="25"/>
        <v>CRÍTICO</v>
      </c>
    </row>
    <row r="160" spans="1:23" x14ac:dyDescent="0.25">
      <c r="A160" s="2">
        <f>CONTROLE_DIARIO!A161</f>
        <v>46163</v>
      </c>
      <c r="B160" s="51" t="str">
        <f>CONTROLE_DIARIO!B161</f>
        <v>Loja Pistão</v>
      </c>
      <c r="C160" s="3">
        <f>CONTROLE_DIARIO!C161</f>
        <v>4077</v>
      </c>
      <c r="D160" s="3" t="str">
        <f>CONTROLE_DIARIO!D161</f>
        <v>João Lucas</v>
      </c>
      <c r="E160" s="3" t="str">
        <f>CONTROLE_DIARIO!E161</f>
        <v>Aberto</v>
      </c>
      <c r="F160" s="3">
        <f>CONTROLE_DIARIO!F161</f>
        <v>0</v>
      </c>
      <c r="G160" s="3">
        <f>CONTROLE_DIARIO!G161</f>
        <v>0</v>
      </c>
      <c r="H160" s="3">
        <f>CONTROLE_DIARIO!H161</f>
        <v>0</v>
      </c>
      <c r="I160" s="3">
        <f>CONTROLE_DIARIO!I161</f>
        <v>0</v>
      </c>
      <c r="J160" s="3" t="str">
        <f>CONTROLE_DIARIO!J161</f>
        <v>NÃO</v>
      </c>
      <c r="K160" s="3" t="str">
        <f>CONTROLE_DIARIO!K161</f>
        <v>NOK</v>
      </c>
      <c r="L160" s="51">
        <f>CONTROLE_DIARIO!L161</f>
        <v>0</v>
      </c>
      <c r="M160" s="51">
        <f>CONTROLE_DIARIO!M161</f>
        <v>0</v>
      </c>
      <c r="N160" s="3" t="str">
        <f>CONTROLE_DIARIO!N161</f>
        <v>Qualidade</v>
      </c>
      <c r="O160" s="3" t="str">
        <f>CONTROLE_DIARIO!O161</f>
        <v>Cinthya</v>
      </c>
      <c r="P160" s="51" t="str">
        <f>CONTROLE_DIARIO!P161</f>
        <v>yyyy0100-Loja Pistão-4077</v>
      </c>
      <c r="Q160" s="6">
        <f t="shared" si="19"/>
        <v>0</v>
      </c>
      <c r="R160" s="54" t="str">
        <f t="shared" si="20"/>
        <v>OK</v>
      </c>
      <c r="S160" s="3" t="str">
        <f t="shared" si="21"/>
        <v>mai/yy</v>
      </c>
      <c r="T160" s="3">
        <f t="shared" si="22"/>
        <v>21</v>
      </c>
      <c r="U160" s="3">
        <f t="shared" si="23"/>
        <v>2026</v>
      </c>
      <c r="V160" s="6">
        <f t="shared" si="24"/>
        <v>0</v>
      </c>
      <c r="W160" s="3" t="str">
        <f t="shared" si="25"/>
        <v>CRÍTICO</v>
      </c>
    </row>
    <row r="161" spans="1:23" x14ac:dyDescent="0.25">
      <c r="A161" s="2">
        <f>CONTROLE_DIARIO!A162</f>
        <v>46163</v>
      </c>
      <c r="B161" s="51" t="str">
        <f>CONTROLE_DIARIO!B162</f>
        <v>Loja Pistão</v>
      </c>
      <c r="C161" s="3">
        <f>CONTROLE_DIARIO!C162</f>
        <v>4078</v>
      </c>
      <c r="D161" s="3" t="str">
        <f>CONTROLE_DIARIO!D162</f>
        <v>João Lucas</v>
      </c>
      <c r="E161" s="3" t="str">
        <f>CONTROLE_DIARIO!E162</f>
        <v>Aberto</v>
      </c>
      <c r="F161" s="3">
        <f>CONTROLE_DIARIO!F162</f>
        <v>0</v>
      </c>
      <c r="G161" s="3">
        <f>CONTROLE_DIARIO!G162</f>
        <v>0</v>
      </c>
      <c r="H161" s="3">
        <f>CONTROLE_DIARIO!H162</f>
        <v>0</v>
      </c>
      <c r="I161" s="3">
        <f>CONTROLE_DIARIO!I162</f>
        <v>0</v>
      </c>
      <c r="J161" s="3" t="str">
        <f>CONTROLE_DIARIO!J162</f>
        <v>NÃO</v>
      </c>
      <c r="K161" s="3" t="str">
        <f>CONTROLE_DIARIO!K162</f>
        <v>NOK</v>
      </c>
      <c r="L161" s="51">
        <f>CONTROLE_DIARIO!L162</f>
        <v>0</v>
      </c>
      <c r="M161" s="51">
        <f>CONTROLE_DIARIO!M162</f>
        <v>0</v>
      </c>
      <c r="N161" s="3" t="str">
        <f>CONTROLE_DIARIO!N162</f>
        <v>Qualidade</v>
      </c>
      <c r="O161" s="3" t="str">
        <f>CONTROLE_DIARIO!O162</f>
        <v>Cinthya</v>
      </c>
      <c r="P161" s="51" t="str">
        <f>CONTROLE_DIARIO!P162</f>
        <v>yyyy0100-Loja Pistão-4078</v>
      </c>
      <c r="Q161" s="6">
        <f t="shared" si="19"/>
        <v>0</v>
      </c>
      <c r="R161" s="54" t="str">
        <f t="shared" si="20"/>
        <v>OK</v>
      </c>
      <c r="S161" s="3" t="str">
        <f t="shared" si="21"/>
        <v>mai/yy</v>
      </c>
      <c r="T161" s="3">
        <f t="shared" si="22"/>
        <v>21</v>
      </c>
      <c r="U161" s="3">
        <f t="shared" si="23"/>
        <v>2026</v>
      </c>
      <c r="V161" s="6">
        <f t="shared" si="24"/>
        <v>0</v>
      </c>
      <c r="W161" s="3" t="str">
        <f t="shared" si="25"/>
        <v>CRÍTICO</v>
      </c>
    </row>
    <row r="162" spans="1:23" x14ac:dyDescent="0.25">
      <c r="A162" s="2">
        <f>CONTROLE_DIARIO!A163</f>
        <v>46163</v>
      </c>
      <c r="B162" s="51" t="str">
        <f>CONTROLE_DIARIO!B163</f>
        <v>Loja Asa Norte</v>
      </c>
      <c r="C162" s="3">
        <f>CONTROLE_DIARIO!C163</f>
        <v>4079</v>
      </c>
      <c r="D162" s="3" t="str">
        <f>CONTROLE_DIARIO!D163</f>
        <v>J. Alessandro</v>
      </c>
      <c r="E162" s="3" t="str">
        <f>CONTROLE_DIARIO!E163</f>
        <v>Entrega Total</v>
      </c>
      <c r="F162" s="3" t="str">
        <f>CONTROLE_DIARIO!F163</f>
        <v>NÃO</v>
      </c>
      <c r="G162" s="3" t="str">
        <f>CONTROLE_DIARIO!G163</f>
        <v>NÃO</v>
      </c>
      <c r="H162" s="3" t="str">
        <f>CONTROLE_DIARIO!H163</f>
        <v>NÃO</v>
      </c>
      <c r="I162" s="3" t="str">
        <f>CONTROLE_DIARIO!I163</f>
        <v>SIM</v>
      </c>
      <c r="J162" s="3" t="str">
        <f>CONTROLE_DIARIO!J163</f>
        <v>NÃO</v>
      </c>
      <c r="K162" s="3" t="str">
        <f>CONTROLE_DIARIO!K163</f>
        <v>NOK</v>
      </c>
      <c r="L162" s="51" t="str">
        <f>CONTROLE_DIARIO!L163</f>
        <v>Outro</v>
      </c>
      <c r="M162" s="51" t="str">
        <f>CONTROLE_DIARIO!M163</f>
        <v>Manifesto não entregue pelo app</v>
      </c>
      <c r="N162" s="3" t="str">
        <f>CONTROLE_DIARIO!N163</f>
        <v>Qualidade</v>
      </c>
      <c r="O162" s="3" t="str">
        <f>CONTROLE_DIARIO!O163</f>
        <v>Neudo</v>
      </c>
      <c r="P162" s="51" t="str">
        <f>CONTROLE_DIARIO!P163</f>
        <v>yyyy0100-Loja Asa Norte-4079</v>
      </c>
      <c r="Q162" s="6">
        <f t="shared" si="19"/>
        <v>0.3</v>
      </c>
      <c r="R162" s="54" t="str">
        <f t="shared" si="20"/>
        <v>FORA APP</v>
      </c>
      <c r="S162" s="3" t="str">
        <f t="shared" si="21"/>
        <v>mai/yy</v>
      </c>
      <c r="T162" s="3">
        <f t="shared" si="22"/>
        <v>21</v>
      </c>
      <c r="U162" s="3">
        <f t="shared" si="23"/>
        <v>2026</v>
      </c>
      <c r="V162" s="6">
        <f t="shared" si="24"/>
        <v>0.3</v>
      </c>
      <c r="W162" s="3" t="str">
        <f t="shared" si="25"/>
        <v>CRÍTICO</v>
      </c>
    </row>
    <row r="163" spans="1:23" x14ac:dyDescent="0.25">
      <c r="A163" s="2">
        <f>CONTROLE_DIARIO!A164</f>
        <v>46163</v>
      </c>
      <c r="B163" s="51" t="str">
        <f>CONTROLE_DIARIO!B164</f>
        <v>Loja Asa Norte</v>
      </c>
      <c r="C163" s="3">
        <f>CONTROLE_DIARIO!C164</f>
        <v>4080</v>
      </c>
      <c r="D163" s="3" t="str">
        <f>CONTROLE_DIARIO!D164</f>
        <v>J. Alessandro</v>
      </c>
      <c r="E163" s="3" t="str">
        <f>CONTROLE_DIARIO!E164</f>
        <v>Entrega Total</v>
      </c>
      <c r="F163" s="3" t="str">
        <f>CONTROLE_DIARIO!F164</f>
        <v>NÃO</v>
      </c>
      <c r="G163" s="3" t="str">
        <f>CONTROLE_DIARIO!G164</f>
        <v>NÃO</v>
      </c>
      <c r="H163" s="3" t="str">
        <f>CONTROLE_DIARIO!H164</f>
        <v>NÃO</v>
      </c>
      <c r="I163" s="3" t="str">
        <f>CONTROLE_DIARIO!I164</f>
        <v>SIM</v>
      </c>
      <c r="J163" s="3" t="str">
        <f>CONTROLE_DIARIO!J164</f>
        <v>NÃO</v>
      </c>
      <c r="K163" s="3" t="str">
        <f>CONTROLE_DIARIO!K164</f>
        <v>NOK</v>
      </c>
      <c r="L163" s="51" t="str">
        <f>CONTROLE_DIARIO!L164</f>
        <v>Outro</v>
      </c>
      <c r="M163" s="51" t="str">
        <f>CONTROLE_DIARIO!M164</f>
        <v>Manifesto não entregue pelo app</v>
      </c>
      <c r="N163" s="3" t="str">
        <f>CONTROLE_DIARIO!N164</f>
        <v>Qualidade</v>
      </c>
      <c r="O163" s="3" t="str">
        <f>CONTROLE_DIARIO!O164</f>
        <v>Neudo</v>
      </c>
      <c r="P163" s="51" t="str">
        <f>CONTROLE_DIARIO!P164</f>
        <v>yyyy0100-Loja Asa Norte-4080</v>
      </c>
      <c r="Q163" s="6">
        <f t="shared" si="19"/>
        <v>0.3</v>
      </c>
      <c r="R163" s="54" t="str">
        <f t="shared" si="20"/>
        <v>FORA APP</v>
      </c>
      <c r="S163" s="3" t="str">
        <f t="shared" si="21"/>
        <v>mai/yy</v>
      </c>
      <c r="T163" s="3">
        <f t="shared" si="22"/>
        <v>21</v>
      </c>
      <c r="U163" s="3">
        <f t="shared" si="23"/>
        <v>2026</v>
      </c>
      <c r="V163" s="6">
        <f t="shared" si="24"/>
        <v>0.3</v>
      </c>
      <c r="W163" s="3" t="str">
        <f t="shared" si="25"/>
        <v>CRÍTICO</v>
      </c>
    </row>
    <row r="164" spans="1:23" x14ac:dyDescent="0.25">
      <c r="A164" s="2">
        <f>CONTROLE_DIARIO!A165</f>
        <v>0</v>
      </c>
      <c r="B164" s="51">
        <f>CONTROLE_DIARIO!B165</f>
        <v>0</v>
      </c>
      <c r="C164" s="3">
        <f>CONTROLE_DIARIO!C165</f>
        <v>0</v>
      </c>
      <c r="D164" s="3">
        <f>CONTROLE_DIARIO!D165</f>
        <v>0</v>
      </c>
      <c r="E164" s="3">
        <f>CONTROLE_DIARIO!E165</f>
        <v>0</v>
      </c>
      <c r="F164" s="3">
        <f>CONTROLE_DIARIO!F165</f>
        <v>0</v>
      </c>
      <c r="G164" s="3">
        <f>CONTROLE_DIARIO!G165</f>
        <v>0</v>
      </c>
      <c r="H164" s="3">
        <f>CONTROLE_DIARIO!H165</f>
        <v>0</v>
      </c>
      <c r="I164" s="3">
        <f>CONTROLE_DIARIO!I165</f>
        <v>0</v>
      </c>
      <c r="J164" s="3" t="str">
        <f>CONTROLE_DIARIO!J165</f>
        <v/>
      </c>
      <c r="K164" s="3" t="str">
        <f>CONTROLE_DIARIO!K165</f>
        <v/>
      </c>
      <c r="L164" s="51">
        <f>CONTROLE_DIARIO!L165</f>
        <v>0</v>
      </c>
      <c r="M164" s="51">
        <f>CONTROLE_DIARIO!M165</f>
        <v>0</v>
      </c>
      <c r="N164" s="3">
        <f>CONTROLE_DIARIO!N165</f>
        <v>0</v>
      </c>
      <c r="O164" s="3" t="str">
        <f>CONTROLE_DIARIO!O165</f>
        <v/>
      </c>
      <c r="P164" s="51" t="str">
        <f>CONTROLE_DIARIO!P165</f>
        <v/>
      </c>
      <c r="Q164" s="6">
        <f t="shared" si="19"/>
        <v>0</v>
      </c>
      <c r="R164" s="54" t="str">
        <f t="shared" si="20"/>
        <v>OK</v>
      </c>
      <c r="S164" s="3" t="str">
        <f t="shared" si="21"/>
        <v>jan/yy</v>
      </c>
      <c r="T164" s="3">
        <f t="shared" si="22"/>
        <v>1</v>
      </c>
      <c r="U164" s="3">
        <f t="shared" si="23"/>
        <v>1900</v>
      </c>
      <c r="V164" s="6">
        <f t="shared" si="24"/>
        <v>0</v>
      </c>
      <c r="W164" s="3" t="str">
        <f t="shared" si="25"/>
        <v>CRÍTICO</v>
      </c>
    </row>
    <row r="165" spans="1:23" x14ac:dyDescent="0.25">
      <c r="A165" s="2">
        <f>CONTROLE_DIARIO!A166</f>
        <v>0</v>
      </c>
      <c r="B165" s="51">
        <f>CONTROLE_DIARIO!B166</f>
        <v>0</v>
      </c>
      <c r="C165" s="3">
        <f>CONTROLE_DIARIO!C166</f>
        <v>0</v>
      </c>
      <c r="D165" s="3">
        <f>CONTROLE_DIARIO!D166</f>
        <v>0</v>
      </c>
      <c r="E165" s="3">
        <f>CONTROLE_DIARIO!E166</f>
        <v>0</v>
      </c>
      <c r="F165" s="3">
        <f>CONTROLE_DIARIO!F166</f>
        <v>0</v>
      </c>
      <c r="G165" s="3">
        <f>CONTROLE_DIARIO!G166</f>
        <v>0</v>
      </c>
      <c r="H165" s="3">
        <f>CONTROLE_DIARIO!H166</f>
        <v>0</v>
      </c>
      <c r="I165" s="3">
        <f>CONTROLE_DIARIO!I166</f>
        <v>0</v>
      </c>
      <c r="J165" s="3" t="str">
        <f>CONTROLE_DIARIO!J166</f>
        <v/>
      </c>
      <c r="K165" s="3" t="str">
        <f>CONTROLE_DIARIO!K166</f>
        <v/>
      </c>
      <c r="L165" s="51">
        <f>CONTROLE_DIARIO!L166</f>
        <v>0</v>
      </c>
      <c r="M165" s="51">
        <f>CONTROLE_DIARIO!M166</f>
        <v>0</v>
      </c>
      <c r="N165" s="3">
        <f>CONTROLE_DIARIO!N166</f>
        <v>0</v>
      </c>
      <c r="O165" s="3" t="str">
        <f>CONTROLE_DIARIO!O166</f>
        <v/>
      </c>
      <c r="P165" s="51" t="str">
        <f>CONTROLE_DIARIO!P166</f>
        <v/>
      </c>
      <c r="Q165" s="6">
        <f t="shared" si="19"/>
        <v>0</v>
      </c>
      <c r="R165" s="54" t="str">
        <f t="shared" si="20"/>
        <v>OK</v>
      </c>
      <c r="S165" s="3" t="str">
        <f t="shared" si="21"/>
        <v>jan/yy</v>
      </c>
      <c r="T165" s="3">
        <f t="shared" si="22"/>
        <v>1</v>
      </c>
      <c r="U165" s="3">
        <f t="shared" si="23"/>
        <v>1900</v>
      </c>
      <c r="V165" s="6">
        <f t="shared" si="24"/>
        <v>0</v>
      </c>
      <c r="W165" s="3" t="str">
        <f t="shared" si="25"/>
        <v>CRÍTICO</v>
      </c>
    </row>
    <row r="166" spans="1:23" x14ac:dyDescent="0.25">
      <c r="A166" s="2">
        <f>CONTROLE_DIARIO!A167</f>
        <v>0</v>
      </c>
      <c r="B166" s="51">
        <f>CONTROLE_DIARIO!B167</f>
        <v>0</v>
      </c>
      <c r="C166" s="3">
        <f>CONTROLE_DIARIO!C167</f>
        <v>0</v>
      </c>
      <c r="D166" s="3">
        <f>CONTROLE_DIARIO!D167</f>
        <v>0</v>
      </c>
      <c r="E166" s="3">
        <f>CONTROLE_DIARIO!E167</f>
        <v>0</v>
      </c>
      <c r="F166" s="3">
        <f>CONTROLE_DIARIO!F167</f>
        <v>0</v>
      </c>
      <c r="G166" s="3">
        <f>CONTROLE_DIARIO!G167</f>
        <v>0</v>
      </c>
      <c r="H166" s="3">
        <f>CONTROLE_DIARIO!H167</f>
        <v>0</v>
      </c>
      <c r="I166" s="3">
        <f>CONTROLE_DIARIO!I167</f>
        <v>0</v>
      </c>
      <c r="J166" s="3" t="str">
        <f>CONTROLE_DIARIO!J167</f>
        <v/>
      </c>
      <c r="K166" s="3" t="str">
        <f>CONTROLE_DIARIO!K167</f>
        <v/>
      </c>
      <c r="L166" s="51">
        <f>CONTROLE_DIARIO!L167</f>
        <v>0</v>
      </c>
      <c r="M166" s="51">
        <f>CONTROLE_DIARIO!M167</f>
        <v>0</v>
      </c>
      <c r="N166" s="3">
        <f>CONTROLE_DIARIO!N167</f>
        <v>0</v>
      </c>
      <c r="O166" s="3" t="str">
        <f>CONTROLE_DIARIO!O167</f>
        <v/>
      </c>
      <c r="P166" s="51" t="str">
        <f>CONTROLE_DIARIO!P167</f>
        <v/>
      </c>
      <c r="Q166" s="6">
        <f t="shared" si="19"/>
        <v>0</v>
      </c>
      <c r="R166" s="54" t="str">
        <f t="shared" si="20"/>
        <v>OK</v>
      </c>
      <c r="S166" s="3" t="str">
        <f t="shared" si="21"/>
        <v>jan/yy</v>
      </c>
      <c r="T166" s="3">
        <f t="shared" si="22"/>
        <v>1</v>
      </c>
      <c r="U166" s="3">
        <f t="shared" si="23"/>
        <v>1900</v>
      </c>
      <c r="V166" s="6">
        <f t="shared" si="24"/>
        <v>0</v>
      </c>
      <c r="W166" s="3" t="str">
        <f t="shared" si="25"/>
        <v>CRÍTICO</v>
      </c>
    </row>
    <row r="167" spans="1:23" x14ac:dyDescent="0.25">
      <c r="A167" s="2">
        <f>CONTROLE_DIARIO!A168</f>
        <v>0</v>
      </c>
      <c r="B167" s="51">
        <f>CONTROLE_DIARIO!B168</f>
        <v>0</v>
      </c>
      <c r="C167" s="3">
        <f>CONTROLE_DIARIO!C168</f>
        <v>0</v>
      </c>
      <c r="D167" s="3">
        <f>CONTROLE_DIARIO!D168</f>
        <v>0</v>
      </c>
      <c r="E167" s="3">
        <f>CONTROLE_DIARIO!E168</f>
        <v>0</v>
      </c>
      <c r="F167" s="3">
        <f>CONTROLE_DIARIO!F168</f>
        <v>0</v>
      </c>
      <c r="G167" s="3">
        <f>CONTROLE_DIARIO!G168</f>
        <v>0</v>
      </c>
      <c r="H167" s="3">
        <f>CONTROLE_DIARIO!H168</f>
        <v>0</v>
      </c>
      <c r="I167" s="3">
        <f>CONTROLE_DIARIO!I168</f>
        <v>0</v>
      </c>
      <c r="J167" s="3" t="str">
        <f>CONTROLE_DIARIO!J168</f>
        <v/>
      </c>
      <c r="K167" s="3" t="str">
        <f>CONTROLE_DIARIO!K168</f>
        <v/>
      </c>
      <c r="L167" s="51">
        <f>CONTROLE_DIARIO!L168</f>
        <v>0</v>
      </c>
      <c r="M167" s="51">
        <f>CONTROLE_DIARIO!M168</f>
        <v>0</v>
      </c>
      <c r="N167" s="3">
        <f>CONTROLE_DIARIO!N168</f>
        <v>0</v>
      </c>
      <c r="O167" s="3" t="str">
        <f>CONTROLE_DIARIO!O168</f>
        <v/>
      </c>
      <c r="P167" s="51" t="str">
        <f>CONTROLE_DIARIO!P168</f>
        <v/>
      </c>
      <c r="Q167" s="6">
        <f t="shared" si="19"/>
        <v>0</v>
      </c>
      <c r="R167" s="54" t="str">
        <f t="shared" si="20"/>
        <v>OK</v>
      </c>
      <c r="S167" s="3" t="str">
        <f t="shared" si="21"/>
        <v>jan/yy</v>
      </c>
      <c r="T167" s="3">
        <f t="shared" si="22"/>
        <v>1</v>
      </c>
      <c r="U167" s="3">
        <f t="shared" si="23"/>
        <v>1900</v>
      </c>
      <c r="V167" s="6">
        <f t="shared" si="24"/>
        <v>0</v>
      </c>
      <c r="W167" s="3" t="str">
        <f t="shared" si="25"/>
        <v>CRÍTICO</v>
      </c>
    </row>
    <row r="168" spans="1:23" x14ac:dyDescent="0.25">
      <c r="A168" s="2">
        <f>CONTROLE_DIARIO!A169</f>
        <v>0</v>
      </c>
      <c r="B168" s="51">
        <f>CONTROLE_DIARIO!B169</f>
        <v>0</v>
      </c>
      <c r="C168" s="3">
        <f>CONTROLE_DIARIO!C169</f>
        <v>0</v>
      </c>
      <c r="D168" s="3">
        <f>CONTROLE_DIARIO!D169</f>
        <v>0</v>
      </c>
      <c r="E168" s="3">
        <f>CONTROLE_DIARIO!E169</f>
        <v>0</v>
      </c>
      <c r="F168" s="3">
        <f>CONTROLE_DIARIO!F169</f>
        <v>0</v>
      </c>
      <c r="G168" s="3">
        <f>CONTROLE_DIARIO!G169</f>
        <v>0</v>
      </c>
      <c r="H168" s="3">
        <f>CONTROLE_DIARIO!H169</f>
        <v>0</v>
      </c>
      <c r="I168" s="3">
        <f>CONTROLE_DIARIO!I169</f>
        <v>0</v>
      </c>
      <c r="J168" s="3" t="str">
        <f>CONTROLE_DIARIO!J169</f>
        <v/>
      </c>
      <c r="K168" s="3" t="str">
        <f>CONTROLE_DIARIO!K169</f>
        <v/>
      </c>
      <c r="L168" s="51">
        <f>CONTROLE_DIARIO!L169</f>
        <v>0</v>
      </c>
      <c r="M168" s="51">
        <f>CONTROLE_DIARIO!M169</f>
        <v>0</v>
      </c>
      <c r="N168" s="3">
        <f>CONTROLE_DIARIO!N169</f>
        <v>0</v>
      </c>
      <c r="O168" s="3" t="str">
        <f>CONTROLE_DIARIO!O169</f>
        <v/>
      </c>
      <c r="P168" s="51" t="str">
        <f>CONTROLE_DIARIO!P169</f>
        <v/>
      </c>
      <c r="Q168" s="6">
        <f t="shared" si="19"/>
        <v>0</v>
      </c>
      <c r="R168" s="54" t="str">
        <f t="shared" si="20"/>
        <v>OK</v>
      </c>
      <c r="S168" s="3" t="str">
        <f t="shared" si="21"/>
        <v>jan/yy</v>
      </c>
      <c r="T168" s="3">
        <f t="shared" si="22"/>
        <v>1</v>
      </c>
      <c r="U168" s="3">
        <f t="shared" si="23"/>
        <v>1900</v>
      </c>
      <c r="V168" s="6">
        <f t="shared" si="24"/>
        <v>0</v>
      </c>
      <c r="W168" s="3" t="str">
        <f t="shared" si="25"/>
        <v>CRÍTICO</v>
      </c>
    </row>
    <row r="169" spans="1:23" x14ac:dyDescent="0.25">
      <c r="A169" s="2">
        <f>CONTROLE_DIARIO!A170</f>
        <v>0</v>
      </c>
      <c r="B169" s="51">
        <f>CONTROLE_DIARIO!B170</f>
        <v>0</v>
      </c>
      <c r="C169" s="3">
        <f>CONTROLE_DIARIO!C170</f>
        <v>0</v>
      </c>
      <c r="D169" s="3">
        <f>CONTROLE_DIARIO!D170</f>
        <v>0</v>
      </c>
      <c r="E169" s="3">
        <f>CONTROLE_DIARIO!E170</f>
        <v>0</v>
      </c>
      <c r="F169" s="3">
        <f>CONTROLE_DIARIO!F170</f>
        <v>0</v>
      </c>
      <c r="G169" s="3">
        <f>CONTROLE_DIARIO!G170</f>
        <v>0</v>
      </c>
      <c r="H169" s="3">
        <f>CONTROLE_DIARIO!H170</f>
        <v>0</v>
      </c>
      <c r="I169" s="3">
        <f>CONTROLE_DIARIO!I170</f>
        <v>0</v>
      </c>
      <c r="J169" s="3" t="str">
        <f>CONTROLE_DIARIO!J170</f>
        <v/>
      </c>
      <c r="K169" s="3" t="str">
        <f>CONTROLE_DIARIO!K170</f>
        <v/>
      </c>
      <c r="L169" s="51">
        <f>CONTROLE_DIARIO!L170</f>
        <v>0</v>
      </c>
      <c r="M169" s="51">
        <f>CONTROLE_DIARIO!M170</f>
        <v>0</v>
      </c>
      <c r="N169" s="3">
        <f>CONTROLE_DIARIO!N170</f>
        <v>0</v>
      </c>
      <c r="O169" s="3" t="str">
        <f>CONTROLE_DIARIO!O170</f>
        <v/>
      </c>
      <c r="P169" s="51" t="str">
        <f>CONTROLE_DIARIO!P170</f>
        <v/>
      </c>
      <c r="Q169" s="6">
        <f t="shared" si="19"/>
        <v>0</v>
      </c>
      <c r="R169" s="54" t="str">
        <f t="shared" si="20"/>
        <v>OK</v>
      </c>
      <c r="S169" s="3" t="str">
        <f t="shared" si="21"/>
        <v>jan/yy</v>
      </c>
      <c r="T169" s="3">
        <f t="shared" si="22"/>
        <v>1</v>
      </c>
      <c r="U169" s="3">
        <f t="shared" si="23"/>
        <v>1900</v>
      </c>
      <c r="V169" s="6">
        <f t="shared" si="24"/>
        <v>0</v>
      </c>
      <c r="W169" s="3" t="str">
        <f t="shared" si="25"/>
        <v>CRÍTICO</v>
      </c>
    </row>
    <row r="170" spans="1:23" x14ac:dyDescent="0.25">
      <c r="A170" s="2">
        <f>CONTROLE_DIARIO!A171</f>
        <v>0</v>
      </c>
      <c r="B170" s="51">
        <f>CONTROLE_DIARIO!B171</f>
        <v>0</v>
      </c>
      <c r="C170" s="3">
        <f>CONTROLE_DIARIO!C171</f>
        <v>0</v>
      </c>
      <c r="D170" s="3">
        <f>CONTROLE_DIARIO!D171</f>
        <v>0</v>
      </c>
      <c r="E170" s="3">
        <f>CONTROLE_DIARIO!E171</f>
        <v>0</v>
      </c>
      <c r="F170" s="3">
        <f>CONTROLE_DIARIO!F171</f>
        <v>0</v>
      </c>
      <c r="G170" s="3">
        <f>CONTROLE_DIARIO!G171</f>
        <v>0</v>
      </c>
      <c r="H170" s="3">
        <f>CONTROLE_DIARIO!H171</f>
        <v>0</v>
      </c>
      <c r="I170" s="3">
        <f>CONTROLE_DIARIO!I171</f>
        <v>0</v>
      </c>
      <c r="J170" s="3" t="str">
        <f>CONTROLE_DIARIO!J171</f>
        <v/>
      </c>
      <c r="K170" s="3" t="str">
        <f>CONTROLE_DIARIO!K171</f>
        <v/>
      </c>
      <c r="L170" s="51">
        <f>CONTROLE_DIARIO!L171</f>
        <v>0</v>
      </c>
      <c r="M170" s="51">
        <f>CONTROLE_DIARIO!M171</f>
        <v>0</v>
      </c>
      <c r="N170" s="3">
        <f>CONTROLE_DIARIO!N171</f>
        <v>0</v>
      </c>
      <c r="O170" s="3" t="str">
        <f>CONTROLE_DIARIO!O171</f>
        <v/>
      </c>
      <c r="P170" s="51" t="str">
        <f>CONTROLE_DIARIO!P171</f>
        <v/>
      </c>
      <c r="Q170" s="6">
        <f t="shared" si="19"/>
        <v>0</v>
      </c>
      <c r="R170" s="54" t="str">
        <f t="shared" si="20"/>
        <v>OK</v>
      </c>
      <c r="S170" s="3" t="str">
        <f t="shared" si="21"/>
        <v>jan/yy</v>
      </c>
      <c r="T170" s="3">
        <f t="shared" si="22"/>
        <v>1</v>
      </c>
      <c r="U170" s="3">
        <f t="shared" si="23"/>
        <v>1900</v>
      </c>
      <c r="V170" s="6">
        <f t="shared" si="24"/>
        <v>0</v>
      </c>
      <c r="W170" s="3" t="str">
        <f t="shared" si="25"/>
        <v>CRÍTICO</v>
      </c>
    </row>
    <row r="171" spans="1:23" x14ac:dyDescent="0.25">
      <c r="A171" s="2">
        <f>CONTROLE_DIARIO!A172</f>
        <v>0</v>
      </c>
      <c r="B171" s="51">
        <f>CONTROLE_DIARIO!B172</f>
        <v>0</v>
      </c>
      <c r="C171" s="3">
        <f>CONTROLE_DIARIO!C172</f>
        <v>0</v>
      </c>
      <c r="D171" s="3">
        <f>CONTROLE_DIARIO!D172</f>
        <v>0</v>
      </c>
      <c r="E171" s="3">
        <f>CONTROLE_DIARIO!E172</f>
        <v>0</v>
      </c>
      <c r="F171" s="3">
        <f>CONTROLE_DIARIO!F172</f>
        <v>0</v>
      </c>
      <c r="G171" s="3">
        <f>CONTROLE_DIARIO!G172</f>
        <v>0</v>
      </c>
      <c r="H171" s="3">
        <f>CONTROLE_DIARIO!H172</f>
        <v>0</v>
      </c>
      <c r="I171" s="3">
        <f>CONTROLE_DIARIO!I172</f>
        <v>0</v>
      </c>
      <c r="J171" s="3" t="str">
        <f>CONTROLE_DIARIO!J172</f>
        <v/>
      </c>
      <c r="K171" s="3" t="str">
        <f>CONTROLE_DIARIO!K172</f>
        <v/>
      </c>
      <c r="L171" s="51">
        <f>CONTROLE_DIARIO!L172</f>
        <v>0</v>
      </c>
      <c r="M171" s="51">
        <f>CONTROLE_DIARIO!M172</f>
        <v>0</v>
      </c>
      <c r="N171" s="3">
        <f>CONTROLE_DIARIO!N172</f>
        <v>0</v>
      </c>
      <c r="O171" s="3" t="str">
        <f>CONTROLE_DIARIO!O172</f>
        <v/>
      </c>
      <c r="P171" s="51" t="str">
        <f>CONTROLE_DIARIO!P172</f>
        <v/>
      </c>
      <c r="Q171" s="6">
        <f t="shared" si="19"/>
        <v>0</v>
      </c>
      <c r="R171" s="54" t="str">
        <f t="shared" si="20"/>
        <v>OK</v>
      </c>
      <c r="S171" s="3" t="str">
        <f t="shared" si="21"/>
        <v>jan/yy</v>
      </c>
      <c r="T171" s="3">
        <f t="shared" si="22"/>
        <v>1</v>
      </c>
      <c r="U171" s="3">
        <f t="shared" si="23"/>
        <v>1900</v>
      </c>
      <c r="V171" s="6">
        <f t="shared" si="24"/>
        <v>0</v>
      </c>
      <c r="W171" s="3" t="str">
        <f t="shared" si="25"/>
        <v>CRÍTICO</v>
      </c>
    </row>
    <row r="172" spans="1:23" x14ac:dyDescent="0.25">
      <c r="A172" s="2">
        <f>CONTROLE_DIARIO!A173</f>
        <v>0</v>
      </c>
      <c r="B172" s="51">
        <f>CONTROLE_DIARIO!B173</f>
        <v>0</v>
      </c>
      <c r="C172" s="3">
        <f>CONTROLE_DIARIO!C173</f>
        <v>0</v>
      </c>
      <c r="D172" s="3">
        <f>CONTROLE_DIARIO!D173</f>
        <v>0</v>
      </c>
      <c r="E172" s="3">
        <f>CONTROLE_DIARIO!E173</f>
        <v>0</v>
      </c>
      <c r="F172" s="3">
        <f>CONTROLE_DIARIO!F173</f>
        <v>0</v>
      </c>
      <c r="G172" s="3">
        <f>CONTROLE_DIARIO!G173</f>
        <v>0</v>
      </c>
      <c r="H172" s="3">
        <f>CONTROLE_DIARIO!H173</f>
        <v>0</v>
      </c>
      <c r="I172" s="3">
        <f>CONTROLE_DIARIO!I173</f>
        <v>0</v>
      </c>
      <c r="J172" s="3" t="str">
        <f>CONTROLE_DIARIO!J173</f>
        <v/>
      </c>
      <c r="K172" s="3" t="str">
        <f>CONTROLE_DIARIO!K173</f>
        <v/>
      </c>
      <c r="L172" s="51">
        <f>CONTROLE_DIARIO!L173</f>
        <v>0</v>
      </c>
      <c r="M172" s="51">
        <f>CONTROLE_DIARIO!M173</f>
        <v>0</v>
      </c>
      <c r="N172" s="3">
        <f>CONTROLE_DIARIO!N173</f>
        <v>0</v>
      </c>
      <c r="O172" s="3" t="str">
        <f>CONTROLE_DIARIO!O173</f>
        <v/>
      </c>
      <c r="P172" s="51" t="str">
        <f>CONTROLE_DIARIO!P173</f>
        <v/>
      </c>
      <c r="Q172" s="6">
        <f t="shared" si="19"/>
        <v>0</v>
      </c>
      <c r="R172" s="54" t="str">
        <f t="shared" si="20"/>
        <v>OK</v>
      </c>
      <c r="S172" s="3" t="str">
        <f t="shared" si="21"/>
        <v>jan/yy</v>
      </c>
      <c r="T172" s="3">
        <f t="shared" si="22"/>
        <v>1</v>
      </c>
      <c r="U172" s="3">
        <f t="shared" si="23"/>
        <v>1900</v>
      </c>
      <c r="V172" s="6">
        <f t="shared" si="24"/>
        <v>0</v>
      </c>
      <c r="W172" s="3" t="str">
        <f t="shared" si="25"/>
        <v>CRÍTICO</v>
      </c>
    </row>
    <row r="173" spans="1:23" x14ac:dyDescent="0.25">
      <c r="A173" s="2">
        <f>CONTROLE_DIARIO!A174</f>
        <v>0</v>
      </c>
      <c r="B173" s="51">
        <f>CONTROLE_DIARIO!B174</f>
        <v>0</v>
      </c>
      <c r="C173" s="3">
        <f>CONTROLE_DIARIO!C174</f>
        <v>0</v>
      </c>
      <c r="D173" s="3">
        <f>CONTROLE_DIARIO!D174</f>
        <v>0</v>
      </c>
      <c r="E173" s="3">
        <f>CONTROLE_DIARIO!E174</f>
        <v>0</v>
      </c>
      <c r="F173" s="3">
        <f>CONTROLE_DIARIO!F174</f>
        <v>0</v>
      </c>
      <c r="G173" s="3">
        <f>CONTROLE_DIARIO!G174</f>
        <v>0</v>
      </c>
      <c r="H173" s="3">
        <f>CONTROLE_DIARIO!H174</f>
        <v>0</v>
      </c>
      <c r="I173" s="3">
        <f>CONTROLE_DIARIO!I174</f>
        <v>0</v>
      </c>
      <c r="J173" s="3" t="str">
        <f>CONTROLE_DIARIO!J174</f>
        <v/>
      </c>
      <c r="K173" s="3" t="str">
        <f>CONTROLE_DIARIO!K174</f>
        <v/>
      </c>
      <c r="L173" s="51">
        <f>CONTROLE_DIARIO!L174</f>
        <v>0</v>
      </c>
      <c r="M173" s="51">
        <f>CONTROLE_DIARIO!M174</f>
        <v>0</v>
      </c>
      <c r="N173" s="3">
        <f>CONTROLE_DIARIO!N174</f>
        <v>0</v>
      </c>
      <c r="O173" s="3" t="str">
        <f>CONTROLE_DIARIO!O174</f>
        <v/>
      </c>
      <c r="P173" s="51" t="str">
        <f>CONTROLE_DIARIO!P174</f>
        <v/>
      </c>
      <c r="Q173" s="6">
        <f t="shared" si="19"/>
        <v>0</v>
      </c>
      <c r="R173" s="54" t="str">
        <f t="shared" si="20"/>
        <v>OK</v>
      </c>
      <c r="S173" s="3" t="str">
        <f t="shared" si="21"/>
        <v>jan/yy</v>
      </c>
      <c r="T173" s="3">
        <f t="shared" si="22"/>
        <v>1</v>
      </c>
      <c r="U173" s="3">
        <f t="shared" si="23"/>
        <v>1900</v>
      </c>
      <c r="V173" s="6">
        <f t="shared" si="24"/>
        <v>0</v>
      </c>
      <c r="W173" s="3" t="str">
        <f t="shared" si="25"/>
        <v>CRÍTICO</v>
      </c>
    </row>
    <row r="174" spans="1:23" x14ac:dyDescent="0.25">
      <c r="A174" s="2">
        <f>CONTROLE_DIARIO!A175</f>
        <v>0</v>
      </c>
      <c r="B174" s="51">
        <f>CONTROLE_DIARIO!B175</f>
        <v>0</v>
      </c>
      <c r="C174" s="3">
        <f>CONTROLE_DIARIO!C175</f>
        <v>0</v>
      </c>
      <c r="D174" s="3">
        <f>CONTROLE_DIARIO!D175</f>
        <v>0</v>
      </c>
      <c r="E174" s="3">
        <f>CONTROLE_DIARIO!E175</f>
        <v>0</v>
      </c>
      <c r="F174" s="3">
        <f>CONTROLE_DIARIO!F175</f>
        <v>0</v>
      </c>
      <c r="G174" s="3">
        <f>CONTROLE_DIARIO!G175</f>
        <v>0</v>
      </c>
      <c r="H174" s="3">
        <f>CONTROLE_DIARIO!H175</f>
        <v>0</v>
      </c>
      <c r="I174" s="3">
        <f>CONTROLE_DIARIO!I175</f>
        <v>0</v>
      </c>
      <c r="J174" s="3" t="str">
        <f>CONTROLE_DIARIO!J175</f>
        <v/>
      </c>
      <c r="K174" s="3" t="str">
        <f>CONTROLE_DIARIO!K175</f>
        <v/>
      </c>
      <c r="L174" s="51">
        <f>CONTROLE_DIARIO!L175</f>
        <v>0</v>
      </c>
      <c r="M174" s="51">
        <f>CONTROLE_DIARIO!M175</f>
        <v>0</v>
      </c>
      <c r="N174" s="3">
        <f>CONTROLE_DIARIO!N175</f>
        <v>0</v>
      </c>
      <c r="O174" s="3" t="str">
        <f>CONTROLE_DIARIO!O175</f>
        <v/>
      </c>
      <c r="P174" s="51" t="str">
        <f>CONTROLE_DIARIO!P175</f>
        <v/>
      </c>
      <c r="Q174" s="6">
        <f t="shared" si="19"/>
        <v>0</v>
      </c>
      <c r="R174" s="54" t="str">
        <f t="shared" si="20"/>
        <v>OK</v>
      </c>
      <c r="S174" s="3" t="str">
        <f t="shared" si="21"/>
        <v>jan/yy</v>
      </c>
      <c r="T174" s="3">
        <f t="shared" si="22"/>
        <v>1</v>
      </c>
      <c r="U174" s="3">
        <f t="shared" si="23"/>
        <v>1900</v>
      </c>
      <c r="V174" s="6">
        <f t="shared" si="24"/>
        <v>0</v>
      </c>
      <c r="W174" s="3" t="str">
        <f t="shared" si="25"/>
        <v>CRÍTICO</v>
      </c>
    </row>
    <row r="175" spans="1:23" x14ac:dyDescent="0.25">
      <c r="A175" s="2">
        <f>CONTROLE_DIARIO!A176</f>
        <v>0</v>
      </c>
      <c r="B175" s="51">
        <f>CONTROLE_DIARIO!B176</f>
        <v>0</v>
      </c>
      <c r="C175" s="3">
        <f>CONTROLE_DIARIO!C176</f>
        <v>0</v>
      </c>
      <c r="D175" s="3">
        <f>CONTROLE_DIARIO!D176</f>
        <v>0</v>
      </c>
      <c r="E175" s="3">
        <f>CONTROLE_DIARIO!E176</f>
        <v>0</v>
      </c>
      <c r="F175" s="3">
        <f>CONTROLE_DIARIO!F176</f>
        <v>0</v>
      </c>
      <c r="G175" s="3">
        <f>CONTROLE_DIARIO!G176</f>
        <v>0</v>
      </c>
      <c r="H175" s="3">
        <f>CONTROLE_DIARIO!H176</f>
        <v>0</v>
      </c>
      <c r="I175" s="3">
        <f>CONTROLE_DIARIO!I176</f>
        <v>0</v>
      </c>
      <c r="J175" s="3" t="str">
        <f>CONTROLE_DIARIO!J176</f>
        <v/>
      </c>
      <c r="K175" s="3" t="str">
        <f>CONTROLE_DIARIO!K176</f>
        <v/>
      </c>
      <c r="L175" s="51">
        <f>CONTROLE_DIARIO!L176</f>
        <v>0</v>
      </c>
      <c r="M175" s="51">
        <f>CONTROLE_DIARIO!M176</f>
        <v>0</v>
      </c>
      <c r="N175" s="3">
        <f>CONTROLE_DIARIO!N176</f>
        <v>0</v>
      </c>
      <c r="O175" s="3" t="str">
        <f>CONTROLE_DIARIO!O176</f>
        <v/>
      </c>
      <c r="P175" s="51" t="str">
        <f>CONTROLE_DIARIO!P176</f>
        <v/>
      </c>
      <c r="Q175" s="6">
        <f t="shared" si="19"/>
        <v>0</v>
      </c>
      <c r="R175" s="54" t="str">
        <f t="shared" si="20"/>
        <v>OK</v>
      </c>
      <c r="S175" s="3" t="str">
        <f t="shared" si="21"/>
        <v>jan/yy</v>
      </c>
      <c r="T175" s="3">
        <f t="shared" si="22"/>
        <v>1</v>
      </c>
      <c r="U175" s="3">
        <f t="shared" si="23"/>
        <v>1900</v>
      </c>
      <c r="V175" s="6">
        <f t="shared" si="24"/>
        <v>0</v>
      </c>
      <c r="W175" s="3" t="str">
        <f t="shared" si="25"/>
        <v>CRÍTICO</v>
      </c>
    </row>
    <row r="176" spans="1:23" x14ac:dyDescent="0.25">
      <c r="A176" s="2">
        <f>CONTROLE_DIARIO!A177</f>
        <v>0</v>
      </c>
      <c r="B176" s="51">
        <f>CONTROLE_DIARIO!B177</f>
        <v>0</v>
      </c>
      <c r="C176" s="3">
        <f>CONTROLE_DIARIO!C177</f>
        <v>0</v>
      </c>
      <c r="D176" s="3">
        <f>CONTROLE_DIARIO!D177</f>
        <v>0</v>
      </c>
      <c r="E176" s="3">
        <f>CONTROLE_DIARIO!E177</f>
        <v>0</v>
      </c>
      <c r="F176" s="3">
        <f>CONTROLE_DIARIO!F177</f>
        <v>0</v>
      </c>
      <c r="G176" s="3">
        <f>CONTROLE_DIARIO!G177</f>
        <v>0</v>
      </c>
      <c r="H176" s="3">
        <f>CONTROLE_DIARIO!H177</f>
        <v>0</v>
      </c>
      <c r="I176" s="3">
        <f>CONTROLE_DIARIO!I177</f>
        <v>0</v>
      </c>
      <c r="J176" s="3" t="str">
        <f>CONTROLE_DIARIO!J177</f>
        <v/>
      </c>
      <c r="K176" s="3" t="str">
        <f>CONTROLE_DIARIO!K177</f>
        <v/>
      </c>
      <c r="L176" s="51">
        <f>CONTROLE_DIARIO!L177</f>
        <v>0</v>
      </c>
      <c r="M176" s="51">
        <f>CONTROLE_DIARIO!M177</f>
        <v>0</v>
      </c>
      <c r="N176" s="3">
        <f>CONTROLE_DIARIO!N177</f>
        <v>0</v>
      </c>
      <c r="O176" s="3" t="str">
        <f>CONTROLE_DIARIO!O177</f>
        <v/>
      </c>
      <c r="P176" s="51" t="str">
        <f>CONTROLE_DIARIO!P177</f>
        <v/>
      </c>
      <c r="Q176" s="6">
        <f t="shared" si="19"/>
        <v>0</v>
      </c>
      <c r="R176" s="54" t="str">
        <f t="shared" si="20"/>
        <v>OK</v>
      </c>
      <c r="S176" s="3" t="str">
        <f t="shared" si="21"/>
        <v>jan/yy</v>
      </c>
      <c r="T176" s="3">
        <f t="shared" si="22"/>
        <v>1</v>
      </c>
      <c r="U176" s="3">
        <f t="shared" si="23"/>
        <v>1900</v>
      </c>
      <c r="V176" s="6">
        <f t="shared" si="24"/>
        <v>0</v>
      </c>
      <c r="W176" s="3" t="str">
        <f t="shared" si="25"/>
        <v>CRÍTICO</v>
      </c>
    </row>
    <row r="177" spans="1:23" x14ac:dyDescent="0.25">
      <c r="A177" s="2">
        <f>CONTROLE_DIARIO!A178</f>
        <v>0</v>
      </c>
      <c r="B177" s="51">
        <f>CONTROLE_DIARIO!B178</f>
        <v>0</v>
      </c>
      <c r="C177" s="3">
        <f>CONTROLE_DIARIO!C178</f>
        <v>0</v>
      </c>
      <c r="D177" s="3">
        <f>CONTROLE_DIARIO!D178</f>
        <v>0</v>
      </c>
      <c r="E177" s="3">
        <f>CONTROLE_DIARIO!E178</f>
        <v>0</v>
      </c>
      <c r="F177" s="3">
        <f>CONTROLE_DIARIO!F178</f>
        <v>0</v>
      </c>
      <c r="G177" s="3">
        <f>CONTROLE_DIARIO!G178</f>
        <v>0</v>
      </c>
      <c r="H177" s="3">
        <f>CONTROLE_DIARIO!H178</f>
        <v>0</v>
      </c>
      <c r="I177" s="3">
        <f>CONTROLE_DIARIO!I178</f>
        <v>0</v>
      </c>
      <c r="J177" s="3" t="str">
        <f>CONTROLE_DIARIO!J178</f>
        <v/>
      </c>
      <c r="K177" s="3" t="str">
        <f>CONTROLE_DIARIO!K178</f>
        <v/>
      </c>
      <c r="L177" s="51">
        <f>CONTROLE_DIARIO!L178</f>
        <v>0</v>
      </c>
      <c r="M177" s="51">
        <f>CONTROLE_DIARIO!M178</f>
        <v>0</v>
      </c>
      <c r="N177" s="3">
        <f>CONTROLE_DIARIO!N178</f>
        <v>0</v>
      </c>
      <c r="O177" s="3" t="str">
        <f>CONTROLE_DIARIO!O178</f>
        <v/>
      </c>
      <c r="P177" s="51" t="str">
        <f>CONTROLE_DIARIO!P178</f>
        <v/>
      </c>
      <c r="Q177" s="6">
        <f t="shared" si="19"/>
        <v>0</v>
      </c>
      <c r="R177" s="54" t="str">
        <f t="shared" si="20"/>
        <v>OK</v>
      </c>
      <c r="S177" s="3" t="str">
        <f t="shared" si="21"/>
        <v>jan/yy</v>
      </c>
      <c r="T177" s="3">
        <f t="shared" si="22"/>
        <v>1</v>
      </c>
      <c r="U177" s="3">
        <f t="shared" si="23"/>
        <v>1900</v>
      </c>
      <c r="V177" s="6">
        <f t="shared" si="24"/>
        <v>0</v>
      </c>
      <c r="W177" s="3" t="str">
        <f t="shared" si="25"/>
        <v>CRÍTICO</v>
      </c>
    </row>
    <row r="178" spans="1:23" x14ac:dyDescent="0.25">
      <c r="A178" s="2">
        <f>CONTROLE_DIARIO!A179</f>
        <v>0</v>
      </c>
      <c r="B178" s="51">
        <f>CONTROLE_DIARIO!B179</f>
        <v>0</v>
      </c>
      <c r="C178" s="3">
        <f>CONTROLE_DIARIO!C179</f>
        <v>0</v>
      </c>
      <c r="D178" s="3">
        <f>CONTROLE_DIARIO!D179</f>
        <v>0</v>
      </c>
      <c r="E178" s="3">
        <f>CONTROLE_DIARIO!E179</f>
        <v>0</v>
      </c>
      <c r="F178" s="3">
        <f>CONTROLE_DIARIO!F179</f>
        <v>0</v>
      </c>
      <c r="G178" s="3">
        <f>CONTROLE_DIARIO!G179</f>
        <v>0</v>
      </c>
      <c r="H178" s="3">
        <f>CONTROLE_DIARIO!H179</f>
        <v>0</v>
      </c>
      <c r="I178" s="3">
        <f>CONTROLE_DIARIO!I179</f>
        <v>0</v>
      </c>
      <c r="J178" s="3" t="str">
        <f>CONTROLE_DIARIO!J179</f>
        <v/>
      </c>
      <c r="K178" s="3" t="str">
        <f>CONTROLE_DIARIO!K179</f>
        <v/>
      </c>
      <c r="L178" s="51">
        <f>CONTROLE_DIARIO!L179</f>
        <v>0</v>
      </c>
      <c r="M178" s="51">
        <f>CONTROLE_DIARIO!M179</f>
        <v>0</v>
      </c>
      <c r="N178" s="3">
        <f>CONTROLE_DIARIO!N179</f>
        <v>0</v>
      </c>
      <c r="O178" s="3" t="str">
        <f>CONTROLE_DIARIO!O179</f>
        <v/>
      </c>
      <c r="P178" s="51" t="str">
        <f>CONTROLE_DIARIO!P179</f>
        <v/>
      </c>
      <c r="Q178" s="6">
        <f t="shared" si="19"/>
        <v>0</v>
      </c>
      <c r="R178" s="54" t="str">
        <f t="shared" si="20"/>
        <v>OK</v>
      </c>
      <c r="S178" s="3" t="str">
        <f t="shared" si="21"/>
        <v>jan/yy</v>
      </c>
      <c r="T178" s="3">
        <f t="shared" si="22"/>
        <v>1</v>
      </c>
      <c r="U178" s="3">
        <f t="shared" si="23"/>
        <v>1900</v>
      </c>
      <c r="V178" s="6">
        <f t="shared" si="24"/>
        <v>0</v>
      </c>
      <c r="W178" s="3" t="str">
        <f t="shared" si="25"/>
        <v>CRÍTICO</v>
      </c>
    </row>
    <row r="179" spans="1:23" x14ac:dyDescent="0.25">
      <c r="A179" s="2">
        <f>CONTROLE_DIARIO!A180</f>
        <v>0</v>
      </c>
      <c r="B179" s="51">
        <f>CONTROLE_DIARIO!B180</f>
        <v>0</v>
      </c>
      <c r="C179" s="3">
        <f>CONTROLE_DIARIO!C180</f>
        <v>0</v>
      </c>
      <c r="D179" s="3">
        <f>CONTROLE_DIARIO!D180</f>
        <v>0</v>
      </c>
      <c r="E179" s="3">
        <f>CONTROLE_DIARIO!E180</f>
        <v>0</v>
      </c>
      <c r="F179" s="3">
        <f>CONTROLE_DIARIO!F180</f>
        <v>0</v>
      </c>
      <c r="G179" s="3">
        <f>CONTROLE_DIARIO!G180</f>
        <v>0</v>
      </c>
      <c r="H179" s="3">
        <f>CONTROLE_DIARIO!H180</f>
        <v>0</v>
      </c>
      <c r="I179" s="3">
        <f>CONTROLE_DIARIO!I180</f>
        <v>0</v>
      </c>
      <c r="J179" s="3" t="str">
        <f>CONTROLE_DIARIO!J180</f>
        <v/>
      </c>
      <c r="K179" s="3" t="str">
        <f>CONTROLE_DIARIO!K180</f>
        <v/>
      </c>
      <c r="L179" s="51">
        <f>CONTROLE_DIARIO!L180</f>
        <v>0</v>
      </c>
      <c r="M179" s="51">
        <f>CONTROLE_DIARIO!M180</f>
        <v>0</v>
      </c>
      <c r="N179" s="3">
        <f>CONTROLE_DIARIO!N180</f>
        <v>0</v>
      </c>
      <c r="O179" s="3" t="str">
        <f>CONTROLE_DIARIO!O180</f>
        <v/>
      </c>
      <c r="P179" s="51" t="str">
        <f>CONTROLE_DIARIO!P180</f>
        <v/>
      </c>
      <c r="Q179" s="6">
        <f t="shared" si="19"/>
        <v>0</v>
      </c>
      <c r="R179" s="54" t="str">
        <f t="shared" si="20"/>
        <v>OK</v>
      </c>
      <c r="S179" s="3" t="str">
        <f t="shared" si="21"/>
        <v>jan/yy</v>
      </c>
      <c r="T179" s="3">
        <f t="shared" si="22"/>
        <v>1</v>
      </c>
      <c r="U179" s="3">
        <f t="shared" si="23"/>
        <v>1900</v>
      </c>
      <c r="V179" s="6">
        <f t="shared" si="24"/>
        <v>0</v>
      </c>
      <c r="W179" s="3" t="str">
        <f t="shared" si="25"/>
        <v>CRÍTICO</v>
      </c>
    </row>
    <row r="180" spans="1:23" x14ac:dyDescent="0.25">
      <c r="A180" s="2">
        <f>CONTROLE_DIARIO!A181</f>
        <v>0</v>
      </c>
      <c r="B180" s="51">
        <f>CONTROLE_DIARIO!B181</f>
        <v>0</v>
      </c>
      <c r="C180" s="3">
        <f>CONTROLE_DIARIO!C181</f>
        <v>0</v>
      </c>
      <c r="D180" s="3">
        <f>CONTROLE_DIARIO!D181</f>
        <v>0</v>
      </c>
      <c r="E180" s="3">
        <f>CONTROLE_DIARIO!E181</f>
        <v>0</v>
      </c>
      <c r="F180" s="3">
        <f>CONTROLE_DIARIO!F181</f>
        <v>0</v>
      </c>
      <c r="G180" s="3">
        <f>CONTROLE_DIARIO!G181</f>
        <v>0</v>
      </c>
      <c r="H180" s="3">
        <f>CONTROLE_DIARIO!H181</f>
        <v>0</v>
      </c>
      <c r="I180" s="3">
        <f>CONTROLE_DIARIO!I181</f>
        <v>0</v>
      </c>
      <c r="J180" s="3" t="str">
        <f>CONTROLE_DIARIO!J181</f>
        <v/>
      </c>
      <c r="K180" s="3" t="str">
        <f>CONTROLE_DIARIO!K181</f>
        <v/>
      </c>
      <c r="L180" s="51">
        <f>CONTROLE_DIARIO!L181</f>
        <v>0</v>
      </c>
      <c r="M180" s="51">
        <f>CONTROLE_DIARIO!M181</f>
        <v>0</v>
      </c>
      <c r="N180" s="3">
        <f>CONTROLE_DIARIO!N181</f>
        <v>0</v>
      </c>
      <c r="O180" s="3" t="str">
        <f>CONTROLE_DIARIO!O181</f>
        <v/>
      </c>
      <c r="P180" s="51" t="str">
        <f>CONTROLE_DIARIO!P181</f>
        <v/>
      </c>
      <c r="Q180" s="6">
        <f t="shared" si="19"/>
        <v>0</v>
      </c>
      <c r="R180" s="54" t="str">
        <f t="shared" si="20"/>
        <v>OK</v>
      </c>
      <c r="S180" s="3" t="str">
        <f t="shared" si="21"/>
        <v>jan/yy</v>
      </c>
      <c r="T180" s="3">
        <f t="shared" si="22"/>
        <v>1</v>
      </c>
      <c r="U180" s="3">
        <f t="shared" si="23"/>
        <v>1900</v>
      </c>
      <c r="V180" s="6">
        <f t="shared" si="24"/>
        <v>0</v>
      </c>
      <c r="W180" s="3" t="str">
        <f t="shared" si="25"/>
        <v>CRÍTICO</v>
      </c>
    </row>
    <row r="181" spans="1:23" x14ac:dyDescent="0.25">
      <c r="A181" s="2">
        <f>CONTROLE_DIARIO!A182</f>
        <v>0</v>
      </c>
      <c r="B181" s="51">
        <f>CONTROLE_DIARIO!B182</f>
        <v>0</v>
      </c>
      <c r="C181" s="3">
        <f>CONTROLE_DIARIO!C182</f>
        <v>0</v>
      </c>
      <c r="D181" s="3">
        <f>CONTROLE_DIARIO!D182</f>
        <v>0</v>
      </c>
      <c r="E181" s="3">
        <f>CONTROLE_DIARIO!E182</f>
        <v>0</v>
      </c>
      <c r="F181" s="3">
        <f>CONTROLE_DIARIO!F182</f>
        <v>0</v>
      </c>
      <c r="G181" s="3">
        <f>CONTROLE_DIARIO!G182</f>
        <v>0</v>
      </c>
      <c r="H181" s="3">
        <f>CONTROLE_DIARIO!H182</f>
        <v>0</v>
      </c>
      <c r="I181" s="3">
        <f>CONTROLE_DIARIO!I182</f>
        <v>0</v>
      </c>
      <c r="J181" s="3" t="str">
        <f>CONTROLE_DIARIO!J182</f>
        <v/>
      </c>
      <c r="K181" s="3" t="str">
        <f>CONTROLE_DIARIO!K182</f>
        <v/>
      </c>
      <c r="L181" s="51">
        <f>CONTROLE_DIARIO!L182</f>
        <v>0</v>
      </c>
      <c r="M181" s="51">
        <f>CONTROLE_DIARIO!M182</f>
        <v>0</v>
      </c>
      <c r="N181" s="3">
        <f>CONTROLE_DIARIO!N182</f>
        <v>0</v>
      </c>
      <c r="O181" s="3" t="str">
        <f>CONTROLE_DIARIO!O182</f>
        <v/>
      </c>
      <c r="P181" s="51" t="str">
        <f>CONTROLE_DIARIO!P182</f>
        <v/>
      </c>
      <c r="Q181" s="6">
        <f t="shared" si="19"/>
        <v>0</v>
      </c>
      <c r="R181" s="54" t="str">
        <f t="shared" si="20"/>
        <v>OK</v>
      </c>
      <c r="S181" s="3" t="str">
        <f t="shared" si="21"/>
        <v>jan/yy</v>
      </c>
      <c r="T181" s="3">
        <f t="shared" si="22"/>
        <v>1</v>
      </c>
      <c r="U181" s="3">
        <f t="shared" si="23"/>
        <v>1900</v>
      </c>
      <c r="V181" s="6">
        <f t="shared" si="24"/>
        <v>0</v>
      </c>
      <c r="W181" s="3" t="str">
        <f t="shared" si="25"/>
        <v>CRÍTICO</v>
      </c>
    </row>
    <row r="182" spans="1:23" x14ac:dyDescent="0.25">
      <c r="A182" s="2">
        <f>CONTROLE_DIARIO!A183</f>
        <v>0</v>
      </c>
      <c r="B182" s="51">
        <f>CONTROLE_DIARIO!B183</f>
        <v>0</v>
      </c>
      <c r="C182" s="3">
        <f>CONTROLE_DIARIO!C183</f>
        <v>0</v>
      </c>
      <c r="D182" s="3">
        <f>CONTROLE_DIARIO!D183</f>
        <v>0</v>
      </c>
      <c r="E182" s="3">
        <f>CONTROLE_DIARIO!E183</f>
        <v>0</v>
      </c>
      <c r="F182" s="3">
        <f>CONTROLE_DIARIO!F183</f>
        <v>0</v>
      </c>
      <c r="G182" s="3">
        <f>CONTROLE_DIARIO!G183</f>
        <v>0</v>
      </c>
      <c r="H182" s="3">
        <f>CONTROLE_DIARIO!H183</f>
        <v>0</v>
      </c>
      <c r="I182" s="3">
        <f>CONTROLE_DIARIO!I183</f>
        <v>0</v>
      </c>
      <c r="J182" s="3" t="str">
        <f>CONTROLE_DIARIO!J183</f>
        <v/>
      </c>
      <c r="K182" s="3" t="str">
        <f>CONTROLE_DIARIO!K183</f>
        <v/>
      </c>
      <c r="L182" s="51">
        <f>CONTROLE_DIARIO!L183</f>
        <v>0</v>
      </c>
      <c r="M182" s="51">
        <f>CONTROLE_DIARIO!M183</f>
        <v>0</v>
      </c>
      <c r="N182" s="3">
        <f>CONTROLE_DIARIO!N183</f>
        <v>0</v>
      </c>
      <c r="O182" s="3" t="str">
        <f>CONTROLE_DIARIO!O183</f>
        <v/>
      </c>
      <c r="P182" s="51" t="str">
        <f>CONTROLE_DIARIO!P183</f>
        <v/>
      </c>
      <c r="Q182" s="6">
        <f t="shared" si="19"/>
        <v>0</v>
      </c>
      <c r="R182" s="54" t="str">
        <f t="shared" si="20"/>
        <v>OK</v>
      </c>
      <c r="S182" s="3" t="str">
        <f t="shared" si="21"/>
        <v>jan/yy</v>
      </c>
      <c r="T182" s="3">
        <f t="shared" si="22"/>
        <v>1</v>
      </c>
      <c r="U182" s="3">
        <f t="shared" si="23"/>
        <v>1900</v>
      </c>
      <c r="V182" s="6">
        <f t="shared" si="24"/>
        <v>0</v>
      </c>
      <c r="W182" s="3" t="str">
        <f t="shared" si="25"/>
        <v>CRÍTICO</v>
      </c>
    </row>
    <row r="183" spans="1:23" x14ac:dyDescent="0.25">
      <c r="A183" s="2">
        <f>CONTROLE_DIARIO!A184</f>
        <v>0</v>
      </c>
      <c r="B183" s="51">
        <f>CONTROLE_DIARIO!B184</f>
        <v>0</v>
      </c>
      <c r="C183" s="3">
        <f>CONTROLE_DIARIO!C184</f>
        <v>0</v>
      </c>
      <c r="D183" s="3">
        <f>CONTROLE_DIARIO!D184</f>
        <v>0</v>
      </c>
      <c r="E183" s="3">
        <f>CONTROLE_DIARIO!E184</f>
        <v>0</v>
      </c>
      <c r="F183" s="3">
        <f>CONTROLE_DIARIO!F184</f>
        <v>0</v>
      </c>
      <c r="G183" s="3">
        <f>CONTROLE_DIARIO!G184</f>
        <v>0</v>
      </c>
      <c r="H183" s="3">
        <f>CONTROLE_DIARIO!H184</f>
        <v>0</v>
      </c>
      <c r="I183" s="3">
        <f>CONTROLE_DIARIO!I184</f>
        <v>0</v>
      </c>
      <c r="J183" s="3" t="str">
        <f>CONTROLE_DIARIO!J184</f>
        <v/>
      </c>
      <c r="K183" s="3" t="str">
        <f>CONTROLE_DIARIO!K184</f>
        <v/>
      </c>
      <c r="L183" s="51">
        <f>CONTROLE_DIARIO!L184</f>
        <v>0</v>
      </c>
      <c r="M183" s="51">
        <f>CONTROLE_DIARIO!M184</f>
        <v>0</v>
      </c>
      <c r="N183" s="3">
        <f>CONTROLE_DIARIO!N184</f>
        <v>0</v>
      </c>
      <c r="O183" s="3" t="str">
        <f>CONTROLE_DIARIO!O184</f>
        <v/>
      </c>
      <c r="P183" s="51" t="str">
        <f>CONTROLE_DIARIO!P184</f>
        <v/>
      </c>
      <c r="Q183" s="6">
        <f t="shared" si="19"/>
        <v>0</v>
      </c>
      <c r="R183" s="54" t="str">
        <f t="shared" si="20"/>
        <v>OK</v>
      </c>
      <c r="S183" s="3" t="str">
        <f t="shared" si="21"/>
        <v>jan/yy</v>
      </c>
      <c r="T183" s="3">
        <f t="shared" si="22"/>
        <v>1</v>
      </c>
      <c r="U183" s="3">
        <f t="shared" si="23"/>
        <v>1900</v>
      </c>
      <c r="V183" s="6">
        <f t="shared" si="24"/>
        <v>0</v>
      </c>
      <c r="W183" s="3" t="str">
        <f t="shared" si="25"/>
        <v>CRÍTICO</v>
      </c>
    </row>
    <row r="184" spans="1:23" x14ac:dyDescent="0.25">
      <c r="A184" s="2">
        <f>CONTROLE_DIARIO!A185</f>
        <v>0</v>
      </c>
      <c r="B184" s="51">
        <f>CONTROLE_DIARIO!B185</f>
        <v>0</v>
      </c>
      <c r="C184" s="3">
        <f>CONTROLE_DIARIO!C185</f>
        <v>0</v>
      </c>
      <c r="D184" s="3">
        <f>CONTROLE_DIARIO!D185</f>
        <v>0</v>
      </c>
      <c r="E184" s="3">
        <f>CONTROLE_DIARIO!E185</f>
        <v>0</v>
      </c>
      <c r="F184" s="3">
        <f>CONTROLE_DIARIO!F185</f>
        <v>0</v>
      </c>
      <c r="G184" s="3">
        <f>CONTROLE_DIARIO!G185</f>
        <v>0</v>
      </c>
      <c r="H184" s="3">
        <f>CONTROLE_DIARIO!H185</f>
        <v>0</v>
      </c>
      <c r="I184" s="3">
        <f>CONTROLE_DIARIO!I185</f>
        <v>0</v>
      </c>
      <c r="J184" s="3" t="str">
        <f>CONTROLE_DIARIO!J185</f>
        <v/>
      </c>
      <c r="K184" s="3" t="str">
        <f>CONTROLE_DIARIO!K185</f>
        <v/>
      </c>
      <c r="L184" s="51">
        <f>CONTROLE_DIARIO!L185</f>
        <v>0</v>
      </c>
      <c r="M184" s="51">
        <f>CONTROLE_DIARIO!M185</f>
        <v>0</v>
      </c>
      <c r="N184" s="3">
        <f>CONTROLE_DIARIO!N185</f>
        <v>0</v>
      </c>
      <c r="O184" s="3" t="str">
        <f>CONTROLE_DIARIO!O185</f>
        <v/>
      </c>
      <c r="P184" s="51" t="str">
        <f>CONTROLE_DIARIO!P185</f>
        <v/>
      </c>
      <c r="Q184" s="6">
        <f t="shared" si="19"/>
        <v>0</v>
      </c>
      <c r="R184" s="54" t="str">
        <f t="shared" si="20"/>
        <v>OK</v>
      </c>
      <c r="S184" s="3" t="str">
        <f t="shared" si="21"/>
        <v>jan/yy</v>
      </c>
      <c r="T184" s="3">
        <f t="shared" si="22"/>
        <v>1</v>
      </c>
      <c r="U184" s="3">
        <f t="shared" si="23"/>
        <v>1900</v>
      </c>
      <c r="V184" s="6">
        <f t="shared" si="24"/>
        <v>0</v>
      </c>
      <c r="W184" s="3" t="str">
        <f t="shared" si="25"/>
        <v>CRÍTICO</v>
      </c>
    </row>
    <row r="185" spans="1:23" x14ac:dyDescent="0.25">
      <c r="A185" s="2">
        <f>CONTROLE_DIARIO!A186</f>
        <v>0</v>
      </c>
      <c r="B185" s="51">
        <f>CONTROLE_DIARIO!B186</f>
        <v>0</v>
      </c>
      <c r="C185" s="3">
        <f>CONTROLE_DIARIO!C186</f>
        <v>0</v>
      </c>
      <c r="D185" s="3">
        <f>CONTROLE_DIARIO!D186</f>
        <v>0</v>
      </c>
      <c r="E185" s="3">
        <f>CONTROLE_DIARIO!E186</f>
        <v>0</v>
      </c>
      <c r="F185" s="3">
        <f>CONTROLE_DIARIO!F186</f>
        <v>0</v>
      </c>
      <c r="G185" s="3">
        <f>CONTROLE_DIARIO!G186</f>
        <v>0</v>
      </c>
      <c r="H185" s="3">
        <f>CONTROLE_DIARIO!H186</f>
        <v>0</v>
      </c>
      <c r="I185" s="3">
        <f>CONTROLE_DIARIO!I186</f>
        <v>0</v>
      </c>
      <c r="J185" s="3" t="str">
        <f>CONTROLE_DIARIO!J186</f>
        <v/>
      </c>
      <c r="K185" s="3" t="str">
        <f>CONTROLE_DIARIO!K186</f>
        <v/>
      </c>
      <c r="L185" s="51">
        <f>CONTROLE_DIARIO!L186</f>
        <v>0</v>
      </c>
      <c r="M185" s="51">
        <f>CONTROLE_DIARIO!M186</f>
        <v>0</v>
      </c>
      <c r="N185" s="3">
        <f>CONTROLE_DIARIO!N186</f>
        <v>0</v>
      </c>
      <c r="O185" s="3" t="str">
        <f>CONTROLE_DIARIO!O186</f>
        <v/>
      </c>
      <c r="P185" s="51" t="str">
        <f>CONTROLE_DIARIO!P186</f>
        <v/>
      </c>
      <c r="Q185" s="6">
        <f t="shared" si="19"/>
        <v>0</v>
      </c>
      <c r="R185" s="54" t="str">
        <f t="shared" si="20"/>
        <v>OK</v>
      </c>
      <c r="S185" s="3" t="str">
        <f t="shared" si="21"/>
        <v>jan/yy</v>
      </c>
      <c r="T185" s="3">
        <f t="shared" si="22"/>
        <v>1</v>
      </c>
      <c r="U185" s="3">
        <f t="shared" si="23"/>
        <v>1900</v>
      </c>
      <c r="V185" s="6">
        <f t="shared" si="24"/>
        <v>0</v>
      </c>
      <c r="W185" s="3" t="str">
        <f t="shared" si="25"/>
        <v>CRÍTICO</v>
      </c>
    </row>
    <row r="186" spans="1:23" x14ac:dyDescent="0.25">
      <c r="A186" s="2">
        <f>CONTROLE_DIARIO!A187</f>
        <v>0</v>
      </c>
      <c r="B186" s="51">
        <f>CONTROLE_DIARIO!B187</f>
        <v>0</v>
      </c>
      <c r="C186" s="3">
        <f>CONTROLE_DIARIO!C187</f>
        <v>0</v>
      </c>
      <c r="D186" s="3">
        <f>CONTROLE_DIARIO!D187</f>
        <v>0</v>
      </c>
      <c r="E186" s="3">
        <f>CONTROLE_DIARIO!E187</f>
        <v>0</v>
      </c>
      <c r="F186" s="3">
        <f>CONTROLE_DIARIO!F187</f>
        <v>0</v>
      </c>
      <c r="G186" s="3">
        <f>CONTROLE_DIARIO!G187</f>
        <v>0</v>
      </c>
      <c r="H186" s="3">
        <f>CONTROLE_DIARIO!H187</f>
        <v>0</v>
      </c>
      <c r="I186" s="3">
        <f>CONTROLE_DIARIO!I187</f>
        <v>0</v>
      </c>
      <c r="J186" s="3" t="str">
        <f>CONTROLE_DIARIO!J187</f>
        <v/>
      </c>
      <c r="K186" s="3" t="str">
        <f>CONTROLE_DIARIO!K187</f>
        <v/>
      </c>
      <c r="L186" s="51">
        <f>CONTROLE_DIARIO!L187</f>
        <v>0</v>
      </c>
      <c r="M186" s="51">
        <f>CONTROLE_DIARIO!M187</f>
        <v>0</v>
      </c>
      <c r="N186" s="3">
        <f>CONTROLE_DIARIO!N187</f>
        <v>0</v>
      </c>
      <c r="O186" s="3" t="str">
        <f>CONTROLE_DIARIO!O187</f>
        <v/>
      </c>
      <c r="P186" s="51" t="str">
        <f>CONTROLE_DIARIO!P187</f>
        <v/>
      </c>
      <c r="Q186" s="6">
        <f t="shared" si="19"/>
        <v>0</v>
      </c>
      <c r="R186" s="54" t="str">
        <f t="shared" si="20"/>
        <v>OK</v>
      </c>
      <c r="S186" s="3" t="str">
        <f t="shared" si="21"/>
        <v>jan/yy</v>
      </c>
      <c r="T186" s="3">
        <f t="shared" si="22"/>
        <v>1</v>
      </c>
      <c r="U186" s="3">
        <f t="shared" si="23"/>
        <v>1900</v>
      </c>
      <c r="V186" s="6">
        <f t="shared" si="24"/>
        <v>0</v>
      </c>
      <c r="W186" s="3" t="str">
        <f t="shared" si="25"/>
        <v>CRÍTICO</v>
      </c>
    </row>
    <row r="187" spans="1:23" x14ac:dyDescent="0.25">
      <c r="A187" s="2">
        <f>CONTROLE_DIARIO!A188</f>
        <v>0</v>
      </c>
      <c r="B187" s="51">
        <f>CONTROLE_DIARIO!B188</f>
        <v>0</v>
      </c>
      <c r="C187" s="3">
        <f>CONTROLE_DIARIO!C188</f>
        <v>0</v>
      </c>
      <c r="D187" s="3">
        <f>CONTROLE_DIARIO!D188</f>
        <v>0</v>
      </c>
      <c r="E187" s="3">
        <f>CONTROLE_DIARIO!E188</f>
        <v>0</v>
      </c>
      <c r="F187" s="3">
        <f>CONTROLE_DIARIO!F188</f>
        <v>0</v>
      </c>
      <c r="G187" s="3">
        <f>CONTROLE_DIARIO!G188</f>
        <v>0</v>
      </c>
      <c r="H187" s="3">
        <f>CONTROLE_DIARIO!H188</f>
        <v>0</v>
      </c>
      <c r="I187" s="3">
        <f>CONTROLE_DIARIO!I188</f>
        <v>0</v>
      </c>
      <c r="J187" s="3" t="str">
        <f>CONTROLE_DIARIO!J188</f>
        <v/>
      </c>
      <c r="K187" s="3" t="str">
        <f>CONTROLE_DIARIO!K188</f>
        <v/>
      </c>
      <c r="L187" s="51">
        <f>CONTROLE_DIARIO!L188</f>
        <v>0</v>
      </c>
      <c r="M187" s="51">
        <f>CONTROLE_DIARIO!M188</f>
        <v>0</v>
      </c>
      <c r="N187" s="3">
        <f>CONTROLE_DIARIO!N188</f>
        <v>0</v>
      </c>
      <c r="O187" s="3" t="str">
        <f>CONTROLE_DIARIO!O188</f>
        <v/>
      </c>
      <c r="P187" s="51" t="str">
        <f>CONTROLE_DIARIO!P188</f>
        <v/>
      </c>
      <c r="Q187" s="6">
        <f t="shared" si="19"/>
        <v>0</v>
      </c>
      <c r="R187" s="54" t="str">
        <f t="shared" si="20"/>
        <v>OK</v>
      </c>
      <c r="S187" s="3" t="str">
        <f t="shared" si="21"/>
        <v>jan/yy</v>
      </c>
      <c r="T187" s="3">
        <f t="shared" si="22"/>
        <v>1</v>
      </c>
      <c r="U187" s="3">
        <f t="shared" si="23"/>
        <v>1900</v>
      </c>
      <c r="V187" s="6">
        <f t="shared" si="24"/>
        <v>0</v>
      </c>
      <c r="W187" s="3" t="str">
        <f t="shared" si="25"/>
        <v>CRÍTICO</v>
      </c>
    </row>
    <row r="188" spans="1:23" x14ac:dyDescent="0.25">
      <c r="A188" s="2">
        <f>CONTROLE_DIARIO!A189</f>
        <v>0</v>
      </c>
      <c r="B188" s="51">
        <f>CONTROLE_DIARIO!B189</f>
        <v>0</v>
      </c>
      <c r="C188" s="3">
        <f>CONTROLE_DIARIO!C189</f>
        <v>0</v>
      </c>
      <c r="D188" s="3">
        <f>CONTROLE_DIARIO!D189</f>
        <v>0</v>
      </c>
      <c r="E188" s="3">
        <f>CONTROLE_DIARIO!E189</f>
        <v>0</v>
      </c>
      <c r="F188" s="3">
        <f>CONTROLE_DIARIO!F189</f>
        <v>0</v>
      </c>
      <c r="G188" s="3">
        <f>CONTROLE_DIARIO!G189</f>
        <v>0</v>
      </c>
      <c r="H188" s="3">
        <f>CONTROLE_DIARIO!H189</f>
        <v>0</v>
      </c>
      <c r="I188" s="3">
        <f>CONTROLE_DIARIO!I189</f>
        <v>0</v>
      </c>
      <c r="J188" s="3" t="str">
        <f>CONTROLE_DIARIO!J189</f>
        <v/>
      </c>
      <c r="K188" s="3" t="str">
        <f>CONTROLE_DIARIO!K189</f>
        <v/>
      </c>
      <c r="L188" s="51">
        <f>CONTROLE_DIARIO!L189</f>
        <v>0</v>
      </c>
      <c r="M188" s="51">
        <f>CONTROLE_DIARIO!M189</f>
        <v>0</v>
      </c>
      <c r="N188" s="3">
        <f>CONTROLE_DIARIO!N189</f>
        <v>0</v>
      </c>
      <c r="O188" s="3" t="str">
        <f>CONTROLE_DIARIO!O189</f>
        <v/>
      </c>
      <c r="P188" s="51" t="str">
        <f>CONTROLE_DIARIO!P189</f>
        <v/>
      </c>
      <c r="Q188" s="6">
        <f t="shared" si="19"/>
        <v>0</v>
      </c>
      <c r="R188" s="54" t="str">
        <f t="shared" si="20"/>
        <v>OK</v>
      </c>
      <c r="S188" s="3" t="str">
        <f t="shared" si="21"/>
        <v>jan/yy</v>
      </c>
      <c r="T188" s="3">
        <f t="shared" si="22"/>
        <v>1</v>
      </c>
      <c r="U188" s="3">
        <f t="shared" si="23"/>
        <v>1900</v>
      </c>
      <c r="V188" s="6">
        <f t="shared" si="24"/>
        <v>0</v>
      </c>
      <c r="W188" s="3" t="str">
        <f t="shared" si="25"/>
        <v>CRÍTICO</v>
      </c>
    </row>
    <row r="189" spans="1:23" x14ac:dyDescent="0.25">
      <c r="A189" s="2">
        <f>CONTROLE_DIARIO!A190</f>
        <v>0</v>
      </c>
      <c r="B189" s="51">
        <f>CONTROLE_DIARIO!B190</f>
        <v>0</v>
      </c>
      <c r="C189" s="3">
        <f>CONTROLE_DIARIO!C190</f>
        <v>0</v>
      </c>
      <c r="D189" s="3">
        <f>CONTROLE_DIARIO!D190</f>
        <v>0</v>
      </c>
      <c r="E189" s="3">
        <f>CONTROLE_DIARIO!E190</f>
        <v>0</v>
      </c>
      <c r="F189" s="3">
        <f>CONTROLE_DIARIO!F190</f>
        <v>0</v>
      </c>
      <c r="G189" s="3">
        <f>CONTROLE_DIARIO!G190</f>
        <v>0</v>
      </c>
      <c r="H189" s="3">
        <f>CONTROLE_DIARIO!H190</f>
        <v>0</v>
      </c>
      <c r="I189" s="3">
        <f>CONTROLE_DIARIO!I190</f>
        <v>0</v>
      </c>
      <c r="J189" s="3" t="str">
        <f>CONTROLE_DIARIO!J190</f>
        <v/>
      </c>
      <c r="K189" s="3" t="str">
        <f>CONTROLE_DIARIO!K190</f>
        <v/>
      </c>
      <c r="L189" s="51">
        <f>CONTROLE_DIARIO!L190</f>
        <v>0</v>
      </c>
      <c r="M189" s="51">
        <f>CONTROLE_DIARIO!M190</f>
        <v>0</v>
      </c>
      <c r="N189" s="3">
        <f>CONTROLE_DIARIO!N190</f>
        <v>0</v>
      </c>
      <c r="O189" s="3" t="str">
        <f>CONTROLE_DIARIO!O190</f>
        <v/>
      </c>
      <c r="P189" s="51" t="str">
        <f>CONTROLE_DIARIO!P190</f>
        <v/>
      </c>
      <c r="Q189" s="6">
        <f t="shared" si="19"/>
        <v>0</v>
      </c>
      <c r="R189" s="54" t="str">
        <f t="shared" si="20"/>
        <v>OK</v>
      </c>
      <c r="S189" s="3" t="str">
        <f t="shared" si="21"/>
        <v>jan/yy</v>
      </c>
      <c r="T189" s="3">
        <f t="shared" si="22"/>
        <v>1</v>
      </c>
      <c r="U189" s="3">
        <f t="shared" si="23"/>
        <v>1900</v>
      </c>
      <c r="V189" s="6">
        <f t="shared" si="24"/>
        <v>0</v>
      </c>
      <c r="W189" s="3" t="str">
        <f t="shared" si="25"/>
        <v>CRÍTICO</v>
      </c>
    </row>
    <row r="190" spans="1:23" x14ac:dyDescent="0.25">
      <c r="A190" s="2">
        <f>CONTROLE_DIARIO!A191</f>
        <v>0</v>
      </c>
      <c r="B190" s="51">
        <f>CONTROLE_DIARIO!B191</f>
        <v>0</v>
      </c>
      <c r="C190" s="3">
        <f>CONTROLE_DIARIO!C191</f>
        <v>0</v>
      </c>
      <c r="D190" s="3">
        <f>CONTROLE_DIARIO!D191</f>
        <v>0</v>
      </c>
      <c r="E190" s="3">
        <f>CONTROLE_DIARIO!E191</f>
        <v>0</v>
      </c>
      <c r="F190" s="3">
        <f>CONTROLE_DIARIO!F191</f>
        <v>0</v>
      </c>
      <c r="G190" s="3">
        <f>CONTROLE_DIARIO!G191</f>
        <v>0</v>
      </c>
      <c r="H190" s="3">
        <f>CONTROLE_DIARIO!H191</f>
        <v>0</v>
      </c>
      <c r="I190" s="3">
        <f>CONTROLE_DIARIO!I191</f>
        <v>0</v>
      </c>
      <c r="J190" s="3" t="str">
        <f>CONTROLE_DIARIO!J191</f>
        <v/>
      </c>
      <c r="K190" s="3" t="str">
        <f>CONTROLE_DIARIO!K191</f>
        <v/>
      </c>
      <c r="L190" s="51">
        <f>CONTROLE_DIARIO!L191</f>
        <v>0</v>
      </c>
      <c r="M190" s="51">
        <f>CONTROLE_DIARIO!M191</f>
        <v>0</v>
      </c>
      <c r="N190" s="3">
        <f>CONTROLE_DIARIO!N191</f>
        <v>0</v>
      </c>
      <c r="O190" s="3" t="str">
        <f>CONTROLE_DIARIO!O191</f>
        <v/>
      </c>
      <c r="P190" s="51" t="str">
        <f>CONTROLE_DIARIO!P191</f>
        <v/>
      </c>
      <c r="Q190" s="6">
        <f t="shared" si="19"/>
        <v>0</v>
      </c>
      <c r="R190" s="54" t="str">
        <f t="shared" si="20"/>
        <v>OK</v>
      </c>
      <c r="S190" s="3" t="str">
        <f t="shared" si="21"/>
        <v>jan/yy</v>
      </c>
      <c r="T190" s="3">
        <f t="shared" si="22"/>
        <v>1</v>
      </c>
      <c r="U190" s="3">
        <f t="shared" si="23"/>
        <v>1900</v>
      </c>
      <c r="V190" s="6">
        <f t="shared" si="24"/>
        <v>0</v>
      </c>
      <c r="W190" s="3" t="str">
        <f t="shared" si="25"/>
        <v>CRÍTICO</v>
      </c>
    </row>
    <row r="191" spans="1:23" x14ac:dyDescent="0.25">
      <c r="A191" s="2">
        <f>CONTROLE_DIARIO!A192</f>
        <v>0</v>
      </c>
      <c r="B191" s="51">
        <f>CONTROLE_DIARIO!B192</f>
        <v>0</v>
      </c>
      <c r="C191" s="3">
        <f>CONTROLE_DIARIO!C192</f>
        <v>0</v>
      </c>
      <c r="D191" s="3">
        <f>CONTROLE_DIARIO!D192</f>
        <v>0</v>
      </c>
      <c r="E191" s="3">
        <f>CONTROLE_DIARIO!E192</f>
        <v>0</v>
      </c>
      <c r="F191" s="3">
        <f>CONTROLE_DIARIO!F192</f>
        <v>0</v>
      </c>
      <c r="G191" s="3">
        <f>CONTROLE_DIARIO!G192</f>
        <v>0</v>
      </c>
      <c r="H191" s="3">
        <f>CONTROLE_DIARIO!H192</f>
        <v>0</v>
      </c>
      <c r="I191" s="3">
        <f>CONTROLE_DIARIO!I192</f>
        <v>0</v>
      </c>
      <c r="J191" s="3" t="str">
        <f>CONTROLE_DIARIO!J192</f>
        <v/>
      </c>
      <c r="K191" s="3" t="str">
        <f>CONTROLE_DIARIO!K192</f>
        <v/>
      </c>
      <c r="L191" s="51">
        <f>CONTROLE_DIARIO!L192</f>
        <v>0</v>
      </c>
      <c r="M191" s="51">
        <f>CONTROLE_DIARIO!M192</f>
        <v>0</v>
      </c>
      <c r="N191" s="3">
        <f>CONTROLE_DIARIO!N192</f>
        <v>0</v>
      </c>
      <c r="O191" s="3" t="str">
        <f>CONTROLE_DIARIO!O192</f>
        <v/>
      </c>
      <c r="P191" s="51" t="str">
        <f>CONTROLE_DIARIO!P192</f>
        <v/>
      </c>
      <c r="Q191" s="6">
        <f t="shared" si="19"/>
        <v>0</v>
      </c>
      <c r="R191" s="54" t="str">
        <f t="shared" si="20"/>
        <v>OK</v>
      </c>
      <c r="S191" s="3" t="str">
        <f t="shared" si="21"/>
        <v>jan/yy</v>
      </c>
      <c r="T191" s="3">
        <f t="shared" si="22"/>
        <v>1</v>
      </c>
      <c r="U191" s="3">
        <f t="shared" si="23"/>
        <v>1900</v>
      </c>
      <c r="V191" s="6">
        <f t="shared" si="24"/>
        <v>0</v>
      </c>
      <c r="W191" s="3" t="str">
        <f t="shared" si="25"/>
        <v>CRÍTICO</v>
      </c>
    </row>
    <row r="192" spans="1:23" x14ac:dyDescent="0.25">
      <c r="A192" s="2">
        <f>CONTROLE_DIARIO!A193</f>
        <v>0</v>
      </c>
      <c r="B192" s="51">
        <f>CONTROLE_DIARIO!B193</f>
        <v>0</v>
      </c>
      <c r="C192" s="3">
        <f>CONTROLE_DIARIO!C193</f>
        <v>0</v>
      </c>
      <c r="D192" s="3">
        <f>CONTROLE_DIARIO!D193</f>
        <v>0</v>
      </c>
      <c r="E192" s="3">
        <f>CONTROLE_DIARIO!E193</f>
        <v>0</v>
      </c>
      <c r="F192" s="3">
        <f>CONTROLE_DIARIO!F193</f>
        <v>0</v>
      </c>
      <c r="G192" s="3">
        <f>CONTROLE_DIARIO!G193</f>
        <v>0</v>
      </c>
      <c r="H192" s="3">
        <f>CONTROLE_DIARIO!H193</f>
        <v>0</v>
      </c>
      <c r="I192" s="3">
        <f>CONTROLE_DIARIO!I193</f>
        <v>0</v>
      </c>
      <c r="J192" s="3" t="str">
        <f>CONTROLE_DIARIO!J193</f>
        <v/>
      </c>
      <c r="K192" s="3" t="str">
        <f>CONTROLE_DIARIO!K193</f>
        <v/>
      </c>
      <c r="L192" s="51">
        <f>CONTROLE_DIARIO!L193</f>
        <v>0</v>
      </c>
      <c r="M192" s="51">
        <f>CONTROLE_DIARIO!M193</f>
        <v>0</v>
      </c>
      <c r="N192" s="3">
        <f>CONTROLE_DIARIO!N193</f>
        <v>0</v>
      </c>
      <c r="O192" s="3" t="str">
        <f>CONTROLE_DIARIO!O193</f>
        <v/>
      </c>
      <c r="P192" s="51" t="str">
        <f>CONTROLE_DIARIO!P193</f>
        <v/>
      </c>
      <c r="Q192" s="6">
        <f t="shared" si="19"/>
        <v>0</v>
      </c>
      <c r="R192" s="54" t="str">
        <f t="shared" si="20"/>
        <v>OK</v>
      </c>
      <c r="S192" s="3" t="str">
        <f t="shared" si="21"/>
        <v>jan/yy</v>
      </c>
      <c r="T192" s="3">
        <f t="shared" si="22"/>
        <v>1</v>
      </c>
      <c r="U192" s="3">
        <f t="shared" si="23"/>
        <v>1900</v>
      </c>
      <c r="V192" s="6">
        <f t="shared" si="24"/>
        <v>0</v>
      </c>
      <c r="W192" s="3" t="str">
        <f t="shared" si="25"/>
        <v>CRÍTICO</v>
      </c>
    </row>
    <row r="193" spans="1:23" x14ac:dyDescent="0.25">
      <c r="A193" s="2">
        <f>CONTROLE_DIARIO!A194</f>
        <v>0</v>
      </c>
      <c r="B193" s="51">
        <f>CONTROLE_DIARIO!B194</f>
        <v>0</v>
      </c>
      <c r="C193" s="3">
        <f>CONTROLE_DIARIO!C194</f>
        <v>0</v>
      </c>
      <c r="D193" s="3">
        <f>CONTROLE_DIARIO!D194</f>
        <v>0</v>
      </c>
      <c r="E193" s="3">
        <f>CONTROLE_DIARIO!E194</f>
        <v>0</v>
      </c>
      <c r="F193" s="3">
        <f>CONTROLE_DIARIO!F194</f>
        <v>0</v>
      </c>
      <c r="G193" s="3">
        <f>CONTROLE_DIARIO!G194</f>
        <v>0</v>
      </c>
      <c r="H193" s="3">
        <f>CONTROLE_DIARIO!H194</f>
        <v>0</v>
      </c>
      <c r="I193" s="3">
        <f>CONTROLE_DIARIO!I194</f>
        <v>0</v>
      </c>
      <c r="J193" s="3" t="str">
        <f>CONTROLE_DIARIO!J194</f>
        <v/>
      </c>
      <c r="K193" s="3" t="str">
        <f>CONTROLE_DIARIO!K194</f>
        <v/>
      </c>
      <c r="L193" s="51">
        <f>CONTROLE_DIARIO!L194</f>
        <v>0</v>
      </c>
      <c r="M193" s="51">
        <f>CONTROLE_DIARIO!M194</f>
        <v>0</v>
      </c>
      <c r="N193" s="3">
        <f>CONTROLE_DIARIO!N194</f>
        <v>0</v>
      </c>
      <c r="O193" s="3" t="str">
        <f>CONTROLE_DIARIO!O194</f>
        <v/>
      </c>
      <c r="P193" s="51" t="str">
        <f>CONTROLE_DIARIO!P194</f>
        <v/>
      </c>
      <c r="Q193" s="6">
        <f t="shared" si="19"/>
        <v>0</v>
      </c>
      <c r="R193" s="54" t="str">
        <f t="shared" si="20"/>
        <v>OK</v>
      </c>
      <c r="S193" s="3" t="str">
        <f t="shared" si="21"/>
        <v>jan/yy</v>
      </c>
      <c r="T193" s="3">
        <f t="shared" si="22"/>
        <v>1</v>
      </c>
      <c r="U193" s="3">
        <f t="shared" si="23"/>
        <v>1900</v>
      </c>
      <c r="V193" s="6">
        <f t="shared" si="24"/>
        <v>0</v>
      </c>
      <c r="W193" s="3" t="str">
        <f t="shared" si="25"/>
        <v>CRÍTICO</v>
      </c>
    </row>
    <row r="194" spans="1:23" x14ac:dyDescent="0.25">
      <c r="A194" s="2">
        <f>CONTROLE_DIARIO!A195</f>
        <v>0</v>
      </c>
      <c r="B194" s="51">
        <f>CONTROLE_DIARIO!B195</f>
        <v>0</v>
      </c>
      <c r="C194" s="3">
        <f>CONTROLE_DIARIO!C195</f>
        <v>0</v>
      </c>
      <c r="D194" s="3">
        <f>CONTROLE_DIARIO!D195</f>
        <v>0</v>
      </c>
      <c r="E194" s="3">
        <f>CONTROLE_DIARIO!E195</f>
        <v>0</v>
      </c>
      <c r="F194" s="3">
        <f>CONTROLE_DIARIO!F195</f>
        <v>0</v>
      </c>
      <c r="G194" s="3">
        <f>CONTROLE_DIARIO!G195</f>
        <v>0</v>
      </c>
      <c r="H194" s="3">
        <f>CONTROLE_DIARIO!H195</f>
        <v>0</v>
      </c>
      <c r="I194" s="3">
        <f>CONTROLE_DIARIO!I195</f>
        <v>0</v>
      </c>
      <c r="J194" s="3" t="str">
        <f>CONTROLE_DIARIO!J195</f>
        <v/>
      </c>
      <c r="K194" s="3" t="str">
        <f>CONTROLE_DIARIO!K195</f>
        <v/>
      </c>
      <c r="L194" s="51">
        <f>CONTROLE_DIARIO!L195</f>
        <v>0</v>
      </c>
      <c r="M194" s="51">
        <f>CONTROLE_DIARIO!M195</f>
        <v>0</v>
      </c>
      <c r="N194" s="3">
        <f>CONTROLE_DIARIO!N195</f>
        <v>0</v>
      </c>
      <c r="O194" s="3" t="str">
        <f>CONTROLE_DIARIO!O195</f>
        <v/>
      </c>
      <c r="P194" s="51" t="str">
        <f>CONTROLE_DIARIO!P195</f>
        <v/>
      </c>
      <c r="Q194" s="6">
        <f t="shared" si="19"/>
        <v>0</v>
      </c>
      <c r="R194" s="54" t="str">
        <f t="shared" si="20"/>
        <v>OK</v>
      </c>
      <c r="S194" s="3" t="str">
        <f t="shared" si="21"/>
        <v>jan/yy</v>
      </c>
      <c r="T194" s="3">
        <f t="shared" si="22"/>
        <v>1</v>
      </c>
      <c r="U194" s="3">
        <f t="shared" si="23"/>
        <v>1900</v>
      </c>
      <c r="V194" s="6">
        <f t="shared" si="24"/>
        <v>0</v>
      </c>
      <c r="W194" s="3" t="str">
        <f t="shared" si="25"/>
        <v>CRÍTICO</v>
      </c>
    </row>
    <row r="195" spans="1:23" x14ac:dyDescent="0.25">
      <c r="A195" s="2">
        <f>CONTROLE_DIARIO!A196</f>
        <v>0</v>
      </c>
      <c r="B195" s="51">
        <f>CONTROLE_DIARIO!B196</f>
        <v>0</v>
      </c>
      <c r="C195" s="3">
        <f>CONTROLE_DIARIO!C196</f>
        <v>0</v>
      </c>
      <c r="D195" s="3">
        <f>CONTROLE_DIARIO!D196</f>
        <v>0</v>
      </c>
      <c r="E195" s="3">
        <f>CONTROLE_DIARIO!E196</f>
        <v>0</v>
      </c>
      <c r="F195" s="3">
        <f>CONTROLE_DIARIO!F196</f>
        <v>0</v>
      </c>
      <c r="G195" s="3">
        <f>CONTROLE_DIARIO!G196</f>
        <v>0</v>
      </c>
      <c r="H195" s="3">
        <f>CONTROLE_DIARIO!H196</f>
        <v>0</v>
      </c>
      <c r="I195" s="3">
        <f>CONTROLE_DIARIO!I196</f>
        <v>0</v>
      </c>
      <c r="J195" s="3" t="str">
        <f>CONTROLE_DIARIO!J196</f>
        <v/>
      </c>
      <c r="K195" s="3" t="str">
        <f>CONTROLE_DIARIO!K196</f>
        <v/>
      </c>
      <c r="L195" s="51">
        <f>CONTROLE_DIARIO!L196</f>
        <v>0</v>
      </c>
      <c r="M195" s="51">
        <f>CONTROLE_DIARIO!M196</f>
        <v>0</v>
      </c>
      <c r="N195" s="3">
        <f>CONTROLE_DIARIO!N196</f>
        <v>0</v>
      </c>
      <c r="O195" s="3" t="str">
        <f>CONTROLE_DIARIO!O196</f>
        <v/>
      </c>
      <c r="P195" s="51" t="str">
        <f>CONTROLE_DIARIO!P196</f>
        <v/>
      </c>
      <c r="Q195" s="6">
        <f t="shared" si="19"/>
        <v>0</v>
      </c>
      <c r="R195" s="54" t="str">
        <f t="shared" si="20"/>
        <v>OK</v>
      </c>
      <c r="S195" s="3" t="str">
        <f t="shared" si="21"/>
        <v>jan/yy</v>
      </c>
      <c r="T195" s="3">
        <f t="shared" si="22"/>
        <v>1</v>
      </c>
      <c r="U195" s="3">
        <f t="shared" si="23"/>
        <v>1900</v>
      </c>
      <c r="V195" s="6">
        <f t="shared" si="24"/>
        <v>0</v>
      </c>
      <c r="W195" s="3" t="str">
        <f t="shared" si="25"/>
        <v>CRÍTICO</v>
      </c>
    </row>
    <row r="196" spans="1:23" x14ac:dyDescent="0.25">
      <c r="A196" s="2">
        <f>CONTROLE_DIARIO!A197</f>
        <v>0</v>
      </c>
      <c r="B196" s="51">
        <f>CONTROLE_DIARIO!B197</f>
        <v>0</v>
      </c>
      <c r="C196" s="3">
        <f>CONTROLE_DIARIO!C197</f>
        <v>0</v>
      </c>
      <c r="D196" s="3">
        <f>CONTROLE_DIARIO!D197</f>
        <v>0</v>
      </c>
      <c r="E196" s="3">
        <f>CONTROLE_DIARIO!E197</f>
        <v>0</v>
      </c>
      <c r="F196" s="3">
        <f>CONTROLE_DIARIO!F197</f>
        <v>0</v>
      </c>
      <c r="G196" s="3">
        <f>CONTROLE_DIARIO!G197</f>
        <v>0</v>
      </c>
      <c r="H196" s="3">
        <f>CONTROLE_DIARIO!H197</f>
        <v>0</v>
      </c>
      <c r="I196" s="3">
        <f>CONTROLE_DIARIO!I197</f>
        <v>0</v>
      </c>
      <c r="J196" s="3" t="str">
        <f>CONTROLE_DIARIO!J197</f>
        <v/>
      </c>
      <c r="K196" s="3" t="str">
        <f>CONTROLE_DIARIO!K197</f>
        <v/>
      </c>
      <c r="L196" s="51">
        <f>CONTROLE_DIARIO!L197</f>
        <v>0</v>
      </c>
      <c r="M196" s="51">
        <f>CONTROLE_DIARIO!M197</f>
        <v>0</v>
      </c>
      <c r="N196" s="3">
        <f>CONTROLE_DIARIO!N197</f>
        <v>0</v>
      </c>
      <c r="O196" s="3" t="str">
        <f>CONTROLE_DIARIO!O197</f>
        <v/>
      </c>
      <c r="P196" s="51" t="str">
        <f>CONTROLE_DIARIO!P197</f>
        <v/>
      </c>
      <c r="Q196" s="6">
        <f t="shared" si="19"/>
        <v>0</v>
      </c>
      <c r="R196" s="54" t="str">
        <f t="shared" si="20"/>
        <v>OK</v>
      </c>
      <c r="S196" s="3" t="str">
        <f t="shared" si="21"/>
        <v>jan/yy</v>
      </c>
      <c r="T196" s="3">
        <f t="shared" si="22"/>
        <v>1</v>
      </c>
      <c r="U196" s="3">
        <f t="shared" si="23"/>
        <v>1900</v>
      </c>
      <c r="V196" s="6">
        <f t="shared" si="24"/>
        <v>0</v>
      </c>
      <c r="W196" s="3" t="str">
        <f t="shared" si="25"/>
        <v>CRÍTICO</v>
      </c>
    </row>
    <row r="197" spans="1:23" x14ac:dyDescent="0.25">
      <c r="A197" s="2">
        <f>CONTROLE_DIARIO!A198</f>
        <v>0</v>
      </c>
      <c r="B197" s="51">
        <f>CONTROLE_DIARIO!B198</f>
        <v>0</v>
      </c>
      <c r="C197" s="3">
        <f>CONTROLE_DIARIO!C198</f>
        <v>0</v>
      </c>
      <c r="D197" s="3">
        <f>CONTROLE_DIARIO!D198</f>
        <v>0</v>
      </c>
      <c r="E197" s="3">
        <f>CONTROLE_DIARIO!E198</f>
        <v>0</v>
      </c>
      <c r="F197" s="3">
        <f>CONTROLE_DIARIO!F198</f>
        <v>0</v>
      </c>
      <c r="G197" s="3">
        <f>CONTROLE_DIARIO!G198</f>
        <v>0</v>
      </c>
      <c r="H197" s="3">
        <f>CONTROLE_DIARIO!H198</f>
        <v>0</v>
      </c>
      <c r="I197" s="3">
        <f>CONTROLE_DIARIO!I198</f>
        <v>0</v>
      </c>
      <c r="J197" s="3" t="str">
        <f>CONTROLE_DIARIO!J198</f>
        <v/>
      </c>
      <c r="K197" s="3" t="str">
        <f>CONTROLE_DIARIO!K198</f>
        <v/>
      </c>
      <c r="L197" s="51">
        <f>CONTROLE_DIARIO!L198</f>
        <v>0</v>
      </c>
      <c r="M197" s="51">
        <f>CONTROLE_DIARIO!M198</f>
        <v>0</v>
      </c>
      <c r="N197" s="3">
        <f>CONTROLE_DIARIO!N198</f>
        <v>0</v>
      </c>
      <c r="O197" s="3" t="str">
        <f>CONTROLE_DIARIO!O198</f>
        <v/>
      </c>
      <c r="P197" s="51" t="str">
        <f>CONTROLE_DIARIO!P198</f>
        <v/>
      </c>
      <c r="Q197" s="6">
        <f t="shared" si="19"/>
        <v>0</v>
      </c>
      <c r="R197" s="54" t="str">
        <f t="shared" si="20"/>
        <v>OK</v>
      </c>
      <c r="S197" s="3" t="str">
        <f t="shared" si="21"/>
        <v>jan/yy</v>
      </c>
      <c r="T197" s="3">
        <f t="shared" si="22"/>
        <v>1</v>
      </c>
      <c r="U197" s="3">
        <f t="shared" si="23"/>
        <v>1900</v>
      </c>
      <c r="V197" s="6">
        <f t="shared" si="24"/>
        <v>0</v>
      </c>
      <c r="W197" s="3" t="str">
        <f t="shared" si="25"/>
        <v>CRÍTICO</v>
      </c>
    </row>
    <row r="198" spans="1:23" x14ac:dyDescent="0.25">
      <c r="A198" s="2">
        <f>CONTROLE_DIARIO!A199</f>
        <v>0</v>
      </c>
      <c r="B198" s="51">
        <f>CONTROLE_DIARIO!B199</f>
        <v>0</v>
      </c>
      <c r="C198" s="3">
        <f>CONTROLE_DIARIO!C199</f>
        <v>0</v>
      </c>
      <c r="D198" s="3">
        <f>CONTROLE_DIARIO!D199</f>
        <v>0</v>
      </c>
      <c r="E198" s="3">
        <f>CONTROLE_DIARIO!E199</f>
        <v>0</v>
      </c>
      <c r="F198" s="3">
        <f>CONTROLE_DIARIO!F199</f>
        <v>0</v>
      </c>
      <c r="G198" s="3">
        <f>CONTROLE_DIARIO!G199</f>
        <v>0</v>
      </c>
      <c r="H198" s="3">
        <f>CONTROLE_DIARIO!H199</f>
        <v>0</v>
      </c>
      <c r="I198" s="3">
        <f>CONTROLE_DIARIO!I199</f>
        <v>0</v>
      </c>
      <c r="J198" s="3" t="str">
        <f>CONTROLE_DIARIO!J199</f>
        <v/>
      </c>
      <c r="K198" s="3" t="str">
        <f>CONTROLE_DIARIO!K199</f>
        <v/>
      </c>
      <c r="L198" s="51">
        <f>CONTROLE_DIARIO!L199</f>
        <v>0</v>
      </c>
      <c r="M198" s="51">
        <f>CONTROLE_DIARIO!M199</f>
        <v>0</v>
      </c>
      <c r="N198" s="3">
        <f>CONTROLE_DIARIO!N199</f>
        <v>0</v>
      </c>
      <c r="O198" s="3" t="str">
        <f>CONTROLE_DIARIO!O199</f>
        <v/>
      </c>
      <c r="P198" s="51" t="str">
        <f>CONTROLE_DIARIO!P199</f>
        <v/>
      </c>
      <c r="Q198" s="6">
        <f t="shared" ref="Q198:Q261" si="26">IF(C198="","",(IF(F198="SIM",0.3,0)+IF(J198="SIM",0.4,0)+IF(I198="SIM",0.3,0)))</f>
        <v>0</v>
      </c>
      <c r="R198" s="54" t="str">
        <f t="shared" ref="R198:R261" si="27">IF(C198="","",IF(E198="Retorno Total","Retorno Total",IF(E198="Cancelado","Manifesto Cancelado",IF(AND(F198="NÃO",G198="NÃO",H198="NÃO"),"FORA APP",IF(F198="NÃO","Não conferido",IF(I198="NÃO","Não baixado",IF(AND(G198="NÃO",H198="NÃO"),"Sem foto e assinatura",IF(G198="NÃO","Sem foto",IF(H198="NÃO","Sem assinatura","OK")))))))))</f>
        <v>OK</v>
      </c>
      <c r="S198" s="3" t="str">
        <f t="shared" ref="S198:S261" si="28">IF(A198="","",TEXT(A198,"mmm/yy"))</f>
        <v>jan/yy</v>
      </c>
      <c r="T198" s="3">
        <f t="shared" ref="T198:T261" si="29">IF(A198="","",WEEKNUM(A198,2))</f>
        <v>1</v>
      </c>
      <c r="U198" s="3">
        <f t="shared" ref="U198:U261" si="30">IF(A198="","",YEAR(A198))</f>
        <v>1900</v>
      </c>
      <c r="V198" s="6">
        <f t="shared" ref="V198:V261" si="31">IF(C198="","",Q198)</f>
        <v>0</v>
      </c>
      <c r="W198" s="3" t="str">
        <f t="shared" ref="W198:W261" si="32">IF(C198="","",IF(Q198&lt;0.85,"CRÍTICO",IF(Q198&lt;0.95,"ATENÇÃO","OK")))</f>
        <v>CRÍTICO</v>
      </c>
    </row>
    <row r="199" spans="1:23" x14ac:dyDescent="0.25">
      <c r="A199" s="2">
        <f>CONTROLE_DIARIO!A200</f>
        <v>0</v>
      </c>
      <c r="B199" s="51">
        <f>CONTROLE_DIARIO!B200</f>
        <v>0</v>
      </c>
      <c r="C199" s="3">
        <f>CONTROLE_DIARIO!C200</f>
        <v>0</v>
      </c>
      <c r="D199" s="3">
        <f>CONTROLE_DIARIO!D200</f>
        <v>0</v>
      </c>
      <c r="E199" s="3">
        <f>CONTROLE_DIARIO!E200</f>
        <v>0</v>
      </c>
      <c r="F199" s="3">
        <f>CONTROLE_DIARIO!F200</f>
        <v>0</v>
      </c>
      <c r="G199" s="3">
        <f>CONTROLE_DIARIO!G200</f>
        <v>0</v>
      </c>
      <c r="H199" s="3">
        <f>CONTROLE_DIARIO!H200</f>
        <v>0</v>
      </c>
      <c r="I199" s="3">
        <f>CONTROLE_DIARIO!I200</f>
        <v>0</v>
      </c>
      <c r="J199" s="3" t="str">
        <f>CONTROLE_DIARIO!J200</f>
        <v/>
      </c>
      <c r="K199" s="3" t="str">
        <f>CONTROLE_DIARIO!K200</f>
        <v/>
      </c>
      <c r="L199" s="51">
        <f>CONTROLE_DIARIO!L200</f>
        <v>0</v>
      </c>
      <c r="M199" s="51">
        <f>CONTROLE_DIARIO!M200</f>
        <v>0</v>
      </c>
      <c r="N199" s="3">
        <f>CONTROLE_DIARIO!N200</f>
        <v>0</v>
      </c>
      <c r="O199" s="3" t="str">
        <f>CONTROLE_DIARIO!O200</f>
        <v/>
      </c>
      <c r="P199" s="51" t="str">
        <f>CONTROLE_DIARIO!P200</f>
        <v/>
      </c>
      <c r="Q199" s="6">
        <f t="shared" si="26"/>
        <v>0</v>
      </c>
      <c r="R199" s="54" t="str">
        <f t="shared" si="27"/>
        <v>OK</v>
      </c>
      <c r="S199" s="3" t="str">
        <f t="shared" si="28"/>
        <v>jan/yy</v>
      </c>
      <c r="T199" s="3">
        <f t="shared" si="29"/>
        <v>1</v>
      </c>
      <c r="U199" s="3">
        <f t="shared" si="30"/>
        <v>1900</v>
      </c>
      <c r="V199" s="6">
        <f t="shared" si="31"/>
        <v>0</v>
      </c>
      <c r="W199" s="3" t="str">
        <f t="shared" si="32"/>
        <v>CRÍTICO</v>
      </c>
    </row>
    <row r="200" spans="1:23" x14ac:dyDescent="0.25">
      <c r="A200" s="2">
        <f>CONTROLE_DIARIO!A201</f>
        <v>0</v>
      </c>
      <c r="B200" s="51">
        <f>CONTROLE_DIARIO!B201</f>
        <v>0</v>
      </c>
      <c r="C200" s="3">
        <f>CONTROLE_DIARIO!C201</f>
        <v>0</v>
      </c>
      <c r="D200" s="3">
        <f>CONTROLE_DIARIO!D201</f>
        <v>0</v>
      </c>
      <c r="E200" s="3">
        <f>CONTROLE_DIARIO!E201</f>
        <v>0</v>
      </c>
      <c r="F200" s="3">
        <f>CONTROLE_DIARIO!F201</f>
        <v>0</v>
      </c>
      <c r="G200" s="3">
        <f>CONTROLE_DIARIO!G201</f>
        <v>0</v>
      </c>
      <c r="H200" s="3">
        <f>CONTROLE_DIARIO!H201</f>
        <v>0</v>
      </c>
      <c r="I200" s="3">
        <f>CONTROLE_DIARIO!I201</f>
        <v>0</v>
      </c>
      <c r="J200" s="3" t="str">
        <f>CONTROLE_DIARIO!J201</f>
        <v/>
      </c>
      <c r="K200" s="3" t="str">
        <f>CONTROLE_DIARIO!K201</f>
        <v/>
      </c>
      <c r="L200" s="51">
        <f>CONTROLE_DIARIO!L201</f>
        <v>0</v>
      </c>
      <c r="M200" s="51">
        <f>CONTROLE_DIARIO!M201</f>
        <v>0</v>
      </c>
      <c r="N200" s="3">
        <f>CONTROLE_DIARIO!N201</f>
        <v>0</v>
      </c>
      <c r="O200" s="3" t="str">
        <f>CONTROLE_DIARIO!O201</f>
        <v/>
      </c>
      <c r="P200" s="51" t="str">
        <f>CONTROLE_DIARIO!P201</f>
        <v/>
      </c>
      <c r="Q200" s="6">
        <f t="shared" si="26"/>
        <v>0</v>
      </c>
      <c r="R200" s="54" t="str">
        <f t="shared" si="27"/>
        <v>OK</v>
      </c>
      <c r="S200" s="3" t="str">
        <f t="shared" si="28"/>
        <v>jan/yy</v>
      </c>
      <c r="T200" s="3">
        <f t="shared" si="29"/>
        <v>1</v>
      </c>
      <c r="U200" s="3">
        <f t="shared" si="30"/>
        <v>1900</v>
      </c>
      <c r="V200" s="6">
        <f t="shared" si="31"/>
        <v>0</v>
      </c>
      <c r="W200" s="3" t="str">
        <f t="shared" si="32"/>
        <v>CRÍTICO</v>
      </c>
    </row>
    <row r="201" spans="1:23" x14ac:dyDescent="0.25">
      <c r="A201" s="2">
        <f>CONTROLE_DIARIO!A202</f>
        <v>0</v>
      </c>
      <c r="B201" s="51">
        <f>CONTROLE_DIARIO!B202</f>
        <v>0</v>
      </c>
      <c r="C201" s="3">
        <f>CONTROLE_DIARIO!C202</f>
        <v>0</v>
      </c>
      <c r="D201" s="3">
        <f>CONTROLE_DIARIO!D202</f>
        <v>0</v>
      </c>
      <c r="E201" s="3">
        <f>CONTROLE_DIARIO!E202</f>
        <v>0</v>
      </c>
      <c r="F201" s="3">
        <f>CONTROLE_DIARIO!F202</f>
        <v>0</v>
      </c>
      <c r="G201" s="3">
        <f>CONTROLE_DIARIO!G202</f>
        <v>0</v>
      </c>
      <c r="H201" s="3">
        <f>CONTROLE_DIARIO!H202</f>
        <v>0</v>
      </c>
      <c r="I201" s="3">
        <f>CONTROLE_DIARIO!I202</f>
        <v>0</v>
      </c>
      <c r="J201" s="3" t="str">
        <f>CONTROLE_DIARIO!J202</f>
        <v/>
      </c>
      <c r="K201" s="3" t="str">
        <f>CONTROLE_DIARIO!K202</f>
        <v/>
      </c>
      <c r="L201" s="51">
        <f>CONTROLE_DIARIO!L202</f>
        <v>0</v>
      </c>
      <c r="M201" s="51">
        <f>CONTROLE_DIARIO!M202</f>
        <v>0</v>
      </c>
      <c r="N201" s="3">
        <f>CONTROLE_DIARIO!N202</f>
        <v>0</v>
      </c>
      <c r="O201" s="3" t="str">
        <f>CONTROLE_DIARIO!O202</f>
        <v/>
      </c>
      <c r="P201" s="51" t="str">
        <f>CONTROLE_DIARIO!P202</f>
        <v/>
      </c>
      <c r="Q201" s="6">
        <f t="shared" si="26"/>
        <v>0</v>
      </c>
      <c r="R201" s="54" t="str">
        <f t="shared" si="27"/>
        <v>OK</v>
      </c>
      <c r="S201" s="3" t="str">
        <f t="shared" si="28"/>
        <v>jan/yy</v>
      </c>
      <c r="T201" s="3">
        <f t="shared" si="29"/>
        <v>1</v>
      </c>
      <c r="U201" s="3">
        <f t="shared" si="30"/>
        <v>1900</v>
      </c>
      <c r="V201" s="6">
        <f t="shared" si="31"/>
        <v>0</v>
      </c>
      <c r="W201" s="3" t="str">
        <f t="shared" si="32"/>
        <v>CRÍTICO</v>
      </c>
    </row>
    <row r="202" spans="1:23" x14ac:dyDescent="0.25">
      <c r="A202" s="2">
        <f>CONTROLE_DIARIO!A203</f>
        <v>0</v>
      </c>
      <c r="B202" s="51">
        <f>CONTROLE_DIARIO!B203</f>
        <v>0</v>
      </c>
      <c r="C202" s="3">
        <f>CONTROLE_DIARIO!C203</f>
        <v>0</v>
      </c>
      <c r="D202" s="3">
        <f>CONTROLE_DIARIO!D203</f>
        <v>0</v>
      </c>
      <c r="E202" s="3">
        <f>CONTROLE_DIARIO!E203</f>
        <v>0</v>
      </c>
      <c r="F202" s="3">
        <f>CONTROLE_DIARIO!F203</f>
        <v>0</v>
      </c>
      <c r="G202" s="3">
        <f>CONTROLE_DIARIO!G203</f>
        <v>0</v>
      </c>
      <c r="H202" s="3">
        <f>CONTROLE_DIARIO!H203</f>
        <v>0</v>
      </c>
      <c r="I202" s="3">
        <f>CONTROLE_DIARIO!I203</f>
        <v>0</v>
      </c>
      <c r="J202" s="3" t="str">
        <f>CONTROLE_DIARIO!J203</f>
        <v/>
      </c>
      <c r="K202" s="3" t="str">
        <f>CONTROLE_DIARIO!K203</f>
        <v/>
      </c>
      <c r="L202" s="51">
        <f>CONTROLE_DIARIO!L203</f>
        <v>0</v>
      </c>
      <c r="M202" s="51">
        <f>CONTROLE_DIARIO!M203</f>
        <v>0</v>
      </c>
      <c r="N202" s="3">
        <f>CONTROLE_DIARIO!N203</f>
        <v>0</v>
      </c>
      <c r="O202" s="3" t="str">
        <f>CONTROLE_DIARIO!O203</f>
        <v/>
      </c>
      <c r="P202" s="51" t="str">
        <f>CONTROLE_DIARIO!P203</f>
        <v/>
      </c>
      <c r="Q202" s="6">
        <f t="shared" si="26"/>
        <v>0</v>
      </c>
      <c r="R202" s="54" t="str">
        <f t="shared" si="27"/>
        <v>OK</v>
      </c>
      <c r="S202" s="3" t="str">
        <f t="shared" si="28"/>
        <v>jan/yy</v>
      </c>
      <c r="T202" s="3">
        <f t="shared" si="29"/>
        <v>1</v>
      </c>
      <c r="U202" s="3">
        <f t="shared" si="30"/>
        <v>1900</v>
      </c>
      <c r="V202" s="6">
        <f t="shared" si="31"/>
        <v>0</v>
      </c>
      <c r="W202" s="3" t="str">
        <f t="shared" si="32"/>
        <v>CRÍTICO</v>
      </c>
    </row>
    <row r="203" spans="1:23" x14ac:dyDescent="0.25">
      <c r="A203" s="2">
        <f>CONTROLE_DIARIO!A204</f>
        <v>0</v>
      </c>
      <c r="B203" s="51">
        <f>CONTROLE_DIARIO!B204</f>
        <v>0</v>
      </c>
      <c r="C203" s="3">
        <f>CONTROLE_DIARIO!C204</f>
        <v>0</v>
      </c>
      <c r="D203" s="3">
        <f>CONTROLE_DIARIO!D204</f>
        <v>0</v>
      </c>
      <c r="E203" s="3">
        <f>CONTROLE_DIARIO!E204</f>
        <v>0</v>
      </c>
      <c r="F203" s="3">
        <f>CONTROLE_DIARIO!F204</f>
        <v>0</v>
      </c>
      <c r="G203" s="3">
        <f>CONTROLE_DIARIO!G204</f>
        <v>0</v>
      </c>
      <c r="H203" s="3">
        <f>CONTROLE_DIARIO!H204</f>
        <v>0</v>
      </c>
      <c r="I203" s="3">
        <f>CONTROLE_DIARIO!I204</f>
        <v>0</v>
      </c>
      <c r="J203" s="3" t="str">
        <f>CONTROLE_DIARIO!J204</f>
        <v/>
      </c>
      <c r="K203" s="3" t="str">
        <f>CONTROLE_DIARIO!K204</f>
        <v/>
      </c>
      <c r="L203" s="51">
        <f>CONTROLE_DIARIO!L204</f>
        <v>0</v>
      </c>
      <c r="M203" s="51">
        <f>CONTROLE_DIARIO!M204</f>
        <v>0</v>
      </c>
      <c r="N203" s="3">
        <f>CONTROLE_DIARIO!N204</f>
        <v>0</v>
      </c>
      <c r="O203" s="3" t="str">
        <f>CONTROLE_DIARIO!O204</f>
        <v/>
      </c>
      <c r="P203" s="51" t="str">
        <f>CONTROLE_DIARIO!P204</f>
        <v/>
      </c>
      <c r="Q203" s="6">
        <f t="shared" si="26"/>
        <v>0</v>
      </c>
      <c r="R203" s="54" t="str">
        <f t="shared" si="27"/>
        <v>OK</v>
      </c>
      <c r="S203" s="3" t="str">
        <f t="shared" si="28"/>
        <v>jan/yy</v>
      </c>
      <c r="T203" s="3">
        <f t="shared" si="29"/>
        <v>1</v>
      </c>
      <c r="U203" s="3">
        <f t="shared" si="30"/>
        <v>1900</v>
      </c>
      <c r="V203" s="6">
        <f t="shared" si="31"/>
        <v>0</v>
      </c>
      <c r="W203" s="3" t="str">
        <f t="shared" si="32"/>
        <v>CRÍTICO</v>
      </c>
    </row>
    <row r="204" spans="1:23" x14ac:dyDescent="0.25">
      <c r="A204" s="2">
        <f>CONTROLE_DIARIO!A205</f>
        <v>0</v>
      </c>
      <c r="B204" s="51">
        <f>CONTROLE_DIARIO!B205</f>
        <v>0</v>
      </c>
      <c r="C204" s="3">
        <f>CONTROLE_DIARIO!C205</f>
        <v>0</v>
      </c>
      <c r="D204" s="3">
        <f>CONTROLE_DIARIO!D205</f>
        <v>0</v>
      </c>
      <c r="E204" s="3">
        <f>CONTROLE_DIARIO!E205</f>
        <v>0</v>
      </c>
      <c r="F204" s="3">
        <f>CONTROLE_DIARIO!F205</f>
        <v>0</v>
      </c>
      <c r="G204" s="3">
        <f>CONTROLE_DIARIO!G205</f>
        <v>0</v>
      </c>
      <c r="H204" s="3">
        <f>CONTROLE_DIARIO!H205</f>
        <v>0</v>
      </c>
      <c r="I204" s="3">
        <f>CONTROLE_DIARIO!I205</f>
        <v>0</v>
      </c>
      <c r="J204" s="3" t="str">
        <f>CONTROLE_DIARIO!J205</f>
        <v/>
      </c>
      <c r="K204" s="3" t="str">
        <f>CONTROLE_DIARIO!K205</f>
        <v/>
      </c>
      <c r="L204" s="51">
        <f>CONTROLE_DIARIO!L205</f>
        <v>0</v>
      </c>
      <c r="M204" s="51">
        <f>CONTROLE_DIARIO!M205</f>
        <v>0</v>
      </c>
      <c r="N204" s="3">
        <f>CONTROLE_DIARIO!N205</f>
        <v>0</v>
      </c>
      <c r="O204" s="3" t="str">
        <f>CONTROLE_DIARIO!O205</f>
        <v/>
      </c>
      <c r="P204" s="51" t="str">
        <f>CONTROLE_DIARIO!P205</f>
        <v/>
      </c>
      <c r="Q204" s="6">
        <f t="shared" si="26"/>
        <v>0</v>
      </c>
      <c r="R204" s="54" t="str">
        <f t="shared" si="27"/>
        <v>OK</v>
      </c>
      <c r="S204" s="3" t="str">
        <f t="shared" si="28"/>
        <v>jan/yy</v>
      </c>
      <c r="T204" s="3">
        <f t="shared" si="29"/>
        <v>1</v>
      </c>
      <c r="U204" s="3">
        <f t="shared" si="30"/>
        <v>1900</v>
      </c>
      <c r="V204" s="6">
        <f t="shared" si="31"/>
        <v>0</v>
      </c>
      <c r="W204" s="3" t="str">
        <f t="shared" si="32"/>
        <v>CRÍTICO</v>
      </c>
    </row>
    <row r="205" spans="1:23" x14ac:dyDescent="0.25">
      <c r="A205" s="2">
        <f>CONTROLE_DIARIO!A206</f>
        <v>0</v>
      </c>
      <c r="B205" s="51">
        <f>CONTROLE_DIARIO!B206</f>
        <v>0</v>
      </c>
      <c r="C205" s="3">
        <f>CONTROLE_DIARIO!C206</f>
        <v>0</v>
      </c>
      <c r="D205" s="3">
        <f>CONTROLE_DIARIO!D206</f>
        <v>0</v>
      </c>
      <c r="E205" s="3">
        <f>CONTROLE_DIARIO!E206</f>
        <v>0</v>
      </c>
      <c r="F205" s="3">
        <f>CONTROLE_DIARIO!F206</f>
        <v>0</v>
      </c>
      <c r="G205" s="3">
        <f>CONTROLE_DIARIO!G206</f>
        <v>0</v>
      </c>
      <c r="H205" s="3">
        <f>CONTROLE_DIARIO!H206</f>
        <v>0</v>
      </c>
      <c r="I205" s="3">
        <f>CONTROLE_DIARIO!I206</f>
        <v>0</v>
      </c>
      <c r="J205" s="3" t="str">
        <f>CONTROLE_DIARIO!J206</f>
        <v/>
      </c>
      <c r="K205" s="3" t="str">
        <f>CONTROLE_DIARIO!K206</f>
        <v/>
      </c>
      <c r="L205" s="51">
        <f>CONTROLE_DIARIO!L206</f>
        <v>0</v>
      </c>
      <c r="M205" s="51">
        <f>CONTROLE_DIARIO!M206</f>
        <v>0</v>
      </c>
      <c r="N205" s="3">
        <f>CONTROLE_DIARIO!N206</f>
        <v>0</v>
      </c>
      <c r="O205" s="3" t="str">
        <f>CONTROLE_DIARIO!O206</f>
        <v/>
      </c>
      <c r="P205" s="51" t="str">
        <f>CONTROLE_DIARIO!P206</f>
        <v/>
      </c>
      <c r="Q205" s="6">
        <f t="shared" si="26"/>
        <v>0</v>
      </c>
      <c r="R205" s="54" t="str">
        <f t="shared" si="27"/>
        <v>OK</v>
      </c>
      <c r="S205" s="3" t="str">
        <f t="shared" si="28"/>
        <v>jan/yy</v>
      </c>
      <c r="T205" s="3">
        <f t="shared" si="29"/>
        <v>1</v>
      </c>
      <c r="U205" s="3">
        <f t="shared" si="30"/>
        <v>1900</v>
      </c>
      <c r="V205" s="6">
        <f t="shared" si="31"/>
        <v>0</v>
      </c>
      <c r="W205" s="3" t="str">
        <f t="shared" si="32"/>
        <v>CRÍTICO</v>
      </c>
    </row>
    <row r="206" spans="1:23" x14ac:dyDescent="0.25">
      <c r="A206" s="2">
        <f>CONTROLE_DIARIO!A207</f>
        <v>0</v>
      </c>
      <c r="B206" s="51">
        <f>CONTROLE_DIARIO!B207</f>
        <v>0</v>
      </c>
      <c r="C206" s="3">
        <f>CONTROLE_DIARIO!C207</f>
        <v>0</v>
      </c>
      <c r="D206" s="3">
        <f>CONTROLE_DIARIO!D207</f>
        <v>0</v>
      </c>
      <c r="E206" s="3">
        <f>CONTROLE_DIARIO!E207</f>
        <v>0</v>
      </c>
      <c r="F206" s="3">
        <f>CONTROLE_DIARIO!F207</f>
        <v>0</v>
      </c>
      <c r="G206" s="3">
        <f>CONTROLE_DIARIO!G207</f>
        <v>0</v>
      </c>
      <c r="H206" s="3">
        <f>CONTROLE_DIARIO!H207</f>
        <v>0</v>
      </c>
      <c r="I206" s="3">
        <f>CONTROLE_DIARIO!I207</f>
        <v>0</v>
      </c>
      <c r="J206" s="3" t="str">
        <f>CONTROLE_DIARIO!J207</f>
        <v/>
      </c>
      <c r="K206" s="3" t="str">
        <f>CONTROLE_DIARIO!K207</f>
        <v/>
      </c>
      <c r="L206" s="51">
        <f>CONTROLE_DIARIO!L207</f>
        <v>0</v>
      </c>
      <c r="M206" s="51">
        <f>CONTROLE_DIARIO!M207</f>
        <v>0</v>
      </c>
      <c r="N206" s="3">
        <f>CONTROLE_DIARIO!N207</f>
        <v>0</v>
      </c>
      <c r="O206" s="3" t="str">
        <f>CONTROLE_DIARIO!O207</f>
        <v/>
      </c>
      <c r="P206" s="51" t="str">
        <f>CONTROLE_DIARIO!P207</f>
        <v/>
      </c>
      <c r="Q206" s="6">
        <f t="shared" si="26"/>
        <v>0</v>
      </c>
      <c r="R206" s="54" t="str">
        <f t="shared" si="27"/>
        <v>OK</v>
      </c>
      <c r="S206" s="3" t="str">
        <f t="shared" si="28"/>
        <v>jan/yy</v>
      </c>
      <c r="T206" s="3">
        <f t="shared" si="29"/>
        <v>1</v>
      </c>
      <c r="U206" s="3">
        <f t="shared" si="30"/>
        <v>1900</v>
      </c>
      <c r="V206" s="6">
        <f t="shared" si="31"/>
        <v>0</v>
      </c>
      <c r="W206" s="3" t="str">
        <f t="shared" si="32"/>
        <v>CRÍTICO</v>
      </c>
    </row>
    <row r="207" spans="1:23" x14ac:dyDescent="0.25">
      <c r="A207" s="2">
        <f>CONTROLE_DIARIO!A208</f>
        <v>0</v>
      </c>
      <c r="B207" s="51">
        <f>CONTROLE_DIARIO!B208</f>
        <v>0</v>
      </c>
      <c r="C207" s="3">
        <f>CONTROLE_DIARIO!C208</f>
        <v>0</v>
      </c>
      <c r="D207" s="3">
        <f>CONTROLE_DIARIO!D208</f>
        <v>0</v>
      </c>
      <c r="E207" s="3">
        <f>CONTROLE_DIARIO!E208</f>
        <v>0</v>
      </c>
      <c r="F207" s="3">
        <f>CONTROLE_DIARIO!F208</f>
        <v>0</v>
      </c>
      <c r="G207" s="3">
        <f>CONTROLE_DIARIO!G208</f>
        <v>0</v>
      </c>
      <c r="H207" s="3">
        <f>CONTROLE_DIARIO!H208</f>
        <v>0</v>
      </c>
      <c r="I207" s="3">
        <f>CONTROLE_DIARIO!I208</f>
        <v>0</v>
      </c>
      <c r="J207" s="3" t="str">
        <f>CONTROLE_DIARIO!J208</f>
        <v/>
      </c>
      <c r="K207" s="3" t="str">
        <f>CONTROLE_DIARIO!K208</f>
        <v/>
      </c>
      <c r="L207" s="51">
        <f>CONTROLE_DIARIO!L208</f>
        <v>0</v>
      </c>
      <c r="M207" s="51">
        <f>CONTROLE_DIARIO!M208</f>
        <v>0</v>
      </c>
      <c r="N207" s="3">
        <f>CONTROLE_DIARIO!N208</f>
        <v>0</v>
      </c>
      <c r="O207" s="3" t="str">
        <f>CONTROLE_DIARIO!O208</f>
        <v/>
      </c>
      <c r="P207" s="51" t="str">
        <f>CONTROLE_DIARIO!P208</f>
        <v/>
      </c>
      <c r="Q207" s="6">
        <f t="shared" si="26"/>
        <v>0</v>
      </c>
      <c r="R207" s="54" t="str">
        <f t="shared" si="27"/>
        <v>OK</v>
      </c>
      <c r="S207" s="3" t="str">
        <f t="shared" si="28"/>
        <v>jan/yy</v>
      </c>
      <c r="T207" s="3">
        <f t="shared" si="29"/>
        <v>1</v>
      </c>
      <c r="U207" s="3">
        <f t="shared" si="30"/>
        <v>1900</v>
      </c>
      <c r="V207" s="6">
        <f t="shared" si="31"/>
        <v>0</v>
      </c>
      <c r="W207" s="3" t="str">
        <f t="shared" si="32"/>
        <v>CRÍTICO</v>
      </c>
    </row>
    <row r="208" spans="1:23" x14ac:dyDescent="0.25">
      <c r="A208" s="2">
        <f>CONTROLE_DIARIO!A209</f>
        <v>0</v>
      </c>
      <c r="B208" s="51">
        <f>CONTROLE_DIARIO!B209</f>
        <v>0</v>
      </c>
      <c r="C208" s="3">
        <f>CONTROLE_DIARIO!C209</f>
        <v>0</v>
      </c>
      <c r="D208" s="3">
        <f>CONTROLE_DIARIO!D209</f>
        <v>0</v>
      </c>
      <c r="E208" s="3">
        <f>CONTROLE_DIARIO!E209</f>
        <v>0</v>
      </c>
      <c r="F208" s="3">
        <f>CONTROLE_DIARIO!F209</f>
        <v>0</v>
      </c>
      <c r="G208" s="3">
        <f>CONTROLE_DIARIO!G209</f>
        <v>0</v>
      </c>
      <c r="H208" s="3">
        <f>CONTROLE_DIARIO!H209</f>
        <v>0</v>
      </c>
      <c r="I208" s="3">
        <f>CONTROLE_DIARIO!I209</f>
        <v>0</v>
      </c>
      <c r="J208" s="3" t="str">
        <f>CONTROLE_DIARIO!J209</f>
        <v/>
      </c>
      <c r="K208" s="3" t="str">
        <f>CONTROLE_DIARIO!K209</f>
        <v/>
      </c>
      <c r="L208" s="51">
        <f>CONTROLE_DIARIO!L209</f>
        <v>0</v>
      </c>
      <c r="M208" s="51">
        <f>CONTROLE_DIARIO!M209</f>
        <v>0</v>
      </c>
      <c r="N208" s="3">
        <f>CONTROLE_DIARIO!N209</f>
        <v>0</v>
      </c>
      <c r="O208" s="3" t="str">
        <f>CONTROLE_DIARIO!O209</f>
        <v/>
      </c>
      <c r="P208" s="51" t="str">
        <f>CONTROLE_DIARIO!P209</f>
        <v/>
      </c>
      <c r="Q208" s="6">
        <f t="shared" si="26"/>
        <v>0</v>
      </c>
      <c r="R208" s="54" t="str">
        <f t="shared" si="27"/>
        <v>OK</v>
      </c>
      <c r="S208" s="3" t="str">
        <f t="shared" si="28"/>
        <v>jan/yy</v>
      </c>
      <c r="T208" s="3">
        <f t="shared" si="29"/>
        <v>1</v>
      </c>
      <c r="U208" s="3">
        <f t="shared" si="30"/>
        <v>1900</v>
      </c>
      <c r="V208" s="6">
        <f t="shared" si="31"/>
        <v>0</v>
      </c>
      <c r="W208" s="3" t="str">
        <f t="shared" si="32"/>
        <v>CRÍTICO</v>
      </c>
    </row>
    <row r="209" spans="1:23" x14ac:dyDescent="0.25">
      <c r="A209" s="2">
        <f>CONTROLE_DIARIO!A210</f>
        <v>0</v>
      </c>
      <c r="B209" s="51">
        <f>CONTROLE_DIARIO!B210</f>
        <v>0</v>
      </c>
      <c r="C209" s="3">
        <f>CONTROLE_DIARIO!C210</f>
        <v>0</v>
      </c>
      <c r="D209" s="3">
        <f>CONTROLE_DIARIO!D210</f>
        <v>0</v>
      </c>
      <c r="E209" s="3">
        <f>CONTROLE_DIARIO!E210</f>
        <v>0</v>
      </c>
      <c r="F209" s="3">
        <f>CONTROLE_DIARIO!F210</f>
        <v>0</v>
      </c>
      <c r="G209" s="3">
        <f>CONTROLE_DIARIO!G210</f>
        <v>0</v>
      </c>
      <c r="H209" s="3">
        <f>CONTROLE_DIARIO!H210</f>
        <v>0</v>
      </c>
      <c r="I209" s="3">
        <f>CONTROLE_DIARIO!I210</f>
        <v>0</v>
      </c>
      <c r="J209" s="3" t="str">
        <f>CONTROLE_DIARIO!J210</f>
        <v/>
      </c>
      <c r="K209" s="3" t="str">
        <f>CONTROLE_DIARIO!K210</f>
        <v/>
      </c>
      <c r="L209" s="51">
        <f>CONTROLE_DIARIO!L210</f>
        <v>0</v>
      </c>
      <c r="M209" s="51">
        <f>CONTROLE_DIARIO!M210</f>
        <v>0</v>
      </c>
      <c r="N209" s="3">
        <f>CONTROLE_DIARIO!N210</f>
        <v>0</v>
      </c>
      <c r="O209" s="3" t="str">
        <f>CONTROLE_DIARIO!O210</f>
        <v/>
      </c>
      <c r="P209" s="51" t="str">
        <f>CONTROLE_DIARIO!P210</f>
        <v/>
      </c>
      <c r="Q209" s="6">
        <f t="shared" si="26"/>
        <v>0</v>
      </c>
      <c r="R209" s="54" t="str">
        <f t="shared" si="27"/>
        <v>OK</v>
      </c>
      <c r="S209" s="3" t="str">
        <f t="shared" si="28"/>
        <v>jan/yy</v>
      </c>
      <c r="T209" s="3">
        <f t="shared" si="29"/>
        <v>1</v>
      </c>
      <c r="U209" s="3">
        <f t="shared" si="30"/>
        <v>1900</v>
      </c>
      <c r="V209" s="6">
        <f t="shared" si="31"/>
        <v>0</v>
      </c>
      <c r="W209" s="3" t="str">
        <f t="shared" si="32"/>
        <v>CRÍTICO</v>
      </c>
    </row>
    <row r="210" spans="1:23" x14ac:dyDescent="0.25">
      <c r="A210" s="2">
        <f>CONTROLE_DIARIO!A211</f>
        <v>0</v>
      </c>
      <c r="B210" s="51">
        <f>CONTROLE_DIARIO!B211</f>
        <v>0</v>
      </c>
      <c r="C210" s="3">
        <f>CONTROLE_DIARIO!C211</f>
        <v>0</v>
      </c>
      <c r="D210" s="3">
        <f>CONTROLE_DIARIO!D211</f>
        <v>0</v>
      </c>
      <c r="E210" s="3">
        <f>CONTROLE_DIARIO!E211</f>
        <v>0</v>
      </c>
      <c r="F210" s="3">
        <f>CONTROLE_DIARIO!F211</f>
        <v>0</v>
      </c>
      <c r="G210" s="3">
        <f>CONTROLE_DIARIO!G211</f>
        <v>0</v>
      </c>
      <c r="H210" s="3">
        <f>CONTROLE_DIARIO!H211</f>
        <v>0</v>
      </c>
      <c r="I210" s="3">
        <f>CONTROLE_DIARIO!I211</f>
        <v>0</v>
      </c>
      <c r="J210" s="3" t="str">
        <f>CONTROLE_DIARIO!J211</f>
        <v/>
      </c>
      <c r="K210" s="3" t="str">
        <f>CONTROLE_DIARIO!K211</f>
        <v/>
      </c>
      <c r="L210" s="51">
        <f>CONTROLE_DIARIO!L211</f>
        <v>0</v>
      </c>
      <c r="M210" s="51">
        <f>CONTROLE_DIARIO!M211</f>
        <v>0</v>
      </c>
      <c r="N210" s="3">
        <f>CONTROLE_DIARIO!N211</f>
        <v>0</v>
      </c>
      <c r="O210" s="3" t="str">
        <f>CONTROLE_DIARIO!O211</f>
        <v/>
      </c>
      <c r="P210" s="51" t="str">
        <f>CONTROLE_DIARIO!P211</f>
        <v/>
      </c>
      <c r="Q210" s="6">
        <f t="shared" si="26"/>
        <v>0</v>
      </c>
      <c r="R210" s="54" t="str">
        <f t="shared" si="27"/>
        <v>OK</v>
      </c>
      <c r="S210" s="3" t="str">
        <f t="shared" si="28"/>
        <v>jan/yy</v>
      </c>
      <c r="T210" s="3">
        <f t="shared" si="29"/>
        <v>1</v>
      </c>
      <c r="U210" s="3">
        <f t="shared" si="30"/>
        <v>1900</v>
      </c>
      <c r="V210" s="6">
        <f t="shared" si="31"/>
        <v>0</v>
      </c>
      <c r="W210" s="3" t="str">
        <f t="shared" si="32"/>
        <v>CRÍTICO</v>
      </c>
    </row>
    <row r="211" spans="1:23" x14ac:dyDescent="0.25">
      <c r="A211" s="2">
        <f>CONTROLE_DIARIO!A212</f>
        <v>0</v>
      </c>
      <c r="B211" s="51">
        <f>CONTROLE_DIARIO!B212</f>
        <v>0</v>
      </c>
      <c r="C211" s="3">
        <f>CONTROLE_DIARIO!C212</f>
        <v>0</v>
      </c>
      <c r="D211" s="3">
        <f>CONTROLE_DIARIO!D212</f>
        <v>0</v>
      </c>
      <c r="E211" s="3">
        <f>CONTROLE_DIARIO!E212</f>
        <v>0</v>
      </c>
      <c r="F211" s="3">
        <f>CONTROLE_DIARIO!F212</f>
        <v>0</v>
      </c>
      <c r="G211" s="3">
        <f>CONTROLE_DIARIO!G212</f>
        <v>0</v>
      </c>
      <c r="H211" s="3">
        <f>CONTROLE_DIARIO!H212</f>
        <v>0</v>
      </c>
      <c r="I211" s="3">
        <f>CONTROLE_DIARIO!I212</f>
        <v>0</v>
      </c>
      <c r="J211" s="3" t="str">
        <f>CONTROLE_DIARIO!J212</f>
        <v/>
      </c>
      <c r="K211" s="3" t="str">
        <f>CONTROLE_DIARIO!K212</f>
        <v/>
      </c>
      <c r="L211" s="51">
        <f>CONTROLE_DIARIO!L212</f>
        <v>0</v>
      </c>
      <c r="M211" s="51">
        <f>CONTROLE_DIARIO!M212</f>
        <v>0</v>
      </c>
      <c r="N211" s="3">
        <f>CONTROLE_DIARIO!N212</f>
        <v>0</v>
      </c>
      <c r="O211" s="3" t="str">
        <f>CONTROLE_DIARIO!O212</f>
        <v/>
      </c>
      <c r="P211" s="51" t="str">
        <f>CONTROLE_DIARIO!P212</f>
        <v/>
      </c>
      <c r="Q211" s="6">
        <f t="shared" si="26"/>
        <v>0</v>
      </c>
      <c r="R211" s="54" t="str">
        <f t="shared" si="27"/>
        <v>OK</v>
      </c>
      <c r="S211" s="3" t="str">
        <f t="shared" si="28"/>
        <v>jan/yy</v>
      </c>
      <c r="T211" s="3">
        <f t="shared" si="29"/>
        <v>1</v>
      </c>
      <c r="U211" s="3">
        <f t="shared" si="30"/>
        <v>1900</v>
      </c>
      <c r="V211" s="6">
        <f t="shared" si="31"/>
        <v>0</v>
      </c>
      <c r="W211" s="3" t="str">
        <f t="shared" si="32"/>
        <v>CRÍTICO</v>
      </c>
    </row>
    <row r="212" spans="1:23" x14ac:dyDescent="0.25">
      <c r="A212" s="2">
        <f>CONTROLE_DIARIO!A213</f>
        <v>0</v>
      </c>
      <c r="B212" s="51">
        <f>CONTROLE_DIARIO!B213</f>
        <v>0</v>
      </c>
      <c r="C212" s="3">
        <f>CONTROLE_DIARIO!C213</f>
        <v>0</v>
      </c>
      <c r="D212" s="3">
        <f>CONTROLE_DIARIO!D213</f>
        <v>0</v>
      </c>
      <c r="E212" s="3">
        <f>CONTROLE_DIARIO!E213</f>
        <v>0</v>
      </c>
      <c r="F212" s="3">
        <f>CONTROLE_DIARIO!F213</f>
        <v>0</v>
      </c>
      <c r="G212" s="3">
        <f>CONTROLE_DIARIO!G213</f>
        <v>0</v>
      </c>
      <c r="H212" s="3">
        <f>CONTROLE_DIARIO!H213</f>
        <v>0</v>
      </c>
      <c r="I212" s="3">
        <f>CONTROLE_DIARIO!I213</f>
        <v>0</v>
      </c>
      <c r="J212" s="3" t="str">
        <f>CONTROLE_DIARIO!J213</f>
        <v/>
      </c>
      <c r="K212" s="3" t="str">
        <f>CONTROLE_DIARIO!K213</f>
        <v/>
      </c>
      <c r="L212" s="51">
        <f>CONTROLE_DIARIO!L213</f>
        <v>0</v>
      </c>
      <c r="M212" s="51">
        <f>CONTROLE_DIARIO!M213</f>
        <v>0</v>
      </c>
      <c r="N212" s="3">
        <f>CONTROLE_DIARIO!N213</f>
        <v>0</v>
      </c>
      <c r="O212" s="3" t="str">
        <f>CONTROLE_DIARIO!O213</f>
        <v/>
      </c>
      <c r="P212" s="51" t="str">
        <f>CONTROLE_DIARIO!P213</f>
        <v/>
      </c>
      <c r="Q212" s="6">
        <f t="shared" si="26"/>
        <v>0</v>
      </c>
      <c r="R212" s="54" t="str">
        <f t="shared" si="27"/>
        <v>OK</v>
      </c>
      <c r="S212" s="3" t="str">
        <f t="shared" si="28"/>
        <v>jan/yy</v>
      </c>
      <c r="T212" s="3">
        <f t="shared" si="29"/>
        <v>1</v>
      </c>
      <c r="U212" s="3">
        <f t="shared" si="30"/>
        <v>1900</v>
      </c>
      <c r="V212" s="6">
        <f t="shared" si="31"/>
        <v>0</v>
      </c>
      <c r="W212" s="3" t="str">
        <f t="shared" si="32"/>
        <v>CRÍTICO</v>
      </c>
    </row>
    <row r="213" spans="1:23" x14ac:dyDescent="0.25">
      <c r="A213" s="2">
        <f>CONTROLE_DIARIO!A214</f>
        <v>0</v>
      </c>
      <c r="B213" s="51">
        <f>CONTROLE_DIARIO!B214</f>
        <v>0</v>
      </c>
      <c r="C213" s="3">
        <f>CONTROLE_DIARIO!C214</f>
        <v>0</v>
      </c>
      <c r="D213" s="3">
        <f>CONTROLE_DIARIO!D214</f>
        <v>0</v>
      </c>
      <c r="E213" s="3">
        <f>CONTROLE_DIARIO!E214</f>
        <v>0</v>
      </c>
      <c r="F213" s="3">
        <f>CONTROLE_DIARIO!F214</f>
        <v>0</v>
      </c>
      <c r="G213" s="3">
        <f>CONTROLE_DIARIO!G214</f>
        <v>0</v>
      </c>
      <c r="H213" s="3">
        <f>CONTROLE_DIARIO!H214</f>
        <v>0</v>
      </c>
      <c r="I213" s="3">
        <f>CONTROLE_DIARIO!I214</f>
        <v>0</v>
      </c>
      <c r="J213" s="3" t="str">
        <f>CONTROLE_DIARIO!J214</f>
        <v/>
      </c>
      <c r="K213" s="3" t="str">
        <f>CONTROLE_DIARIO!K214</f>
        <v/>
      </c>
      <c r="L213" s="51">
        <f>CONTROLE_DIARIO!L214</f>
        <v>0</v>
      </c>
      <c r="M213" s="51">
        <f>CONTROLE_DIARIO!M214</f>
        <v>0</v>
      </c>
      <c r="N213" s="3">
        <f>CONTROLE_DIARIO!N214</f>
        <v>0</v>
      </c>
      <c r="O213" s="3" t="str">
        <f>CONTROLE_DIARIO!O214</f>
        <v/>
      </c>
      <c r="P213" s="51" t="str">
        <f>CONTROLE_DIARIO!P214</f>
        <v/>
      </c>
      <c r="Q213" s="6">
        <f t="shared" si="26"/>
        <v>0</v>
      </c>
      <c r="R213" s="54" t="str">
        <f t="shared" si="27"/>
        <v>OK</v>
      </c>
      <c r="S213" s="3" t="str">
        <f t="shared" si="28"/>
        <v>jan/yy</v>
      </c>
      <c r="T213" s="3">
        <f t="shared" si="29"/>
        <v>1</v>
      </c>
      <c r="U213" s="3">
        <f t="shared" si="30"/>
        <v>1900</v>
      </c>
      <c r="V213" s="6">
        <f t="shared" si="31"/>
        <v>0</v>
      </c>
      <c r="W213" s="3" t="str">
        <f t="shared" si="32"/>
        <v>CRÍTICO</v>
      </c>
    </row>
    <row r="214" spans="1:23" x14ac:dyDescent="0.25">
      <c r="A214" s="2">
        <f>CONTROLE_DIARIO!A215</f>
        <v>0</v>
      </c>
      <c r="B214" s="51">
        <f>CONTROLE_DIARIO!B215</f>
        <v>0</v>
      </c>
      <c r="C214" s="3">
        <f>CONTROLE_DIARIO!C215</f>
        <v>0</v>
      </c>
      <c r="D214" s="3">
        <f>CONTROLE_DIARIO!D215</f>
        <v>0</v>
      </c>
      <c r="E214" s="3">
        <f>CONTROLE_DIARIO!E215</f>
        <v>0</v>
      </c>
      <c r="F214" s="3">
        <f>CONTROLE_DIARIO!F215</f>
        <v>0</v>
      </c>
      <c r="G214" s="3">
        <f>CONTROLE_DIARIO!G215</f>
        <v>0</v>
      </c>
      <c r="H214" s="3">
        <f>CONTROLE_DIARIO!H215</f>
        <v>0</v>
      </c>
      <c r="I214" s="3">
        <f>CONTROLE_DIARIO!I215</f>
        <v>0</v>
      </c>
      <c r="J214" s="3" t="str">
        <f>CONTROLE_DIARIO!J215</f>
        <v/>
      </c>
      <c r="K214" s="3" t="str">
        <f>CONTROLE_DIARIO!K215</f>
        <v/>
      </c>
      <c r="L214" s="51">
        <f>CONTROLE_DIARIO!L215</f>
        <v>0</v>
      </c>
      <c r="M214" s="51">
        <f>CONTROLE_DIARIO!M215</f>
        <v>0</v>
      </c>
      <c r="N214" s="3">
        <f>CONTROLE_DIARIO!N215</f>
        <v>0</v>
      </c>
      <c r="O214" s="3" t="str">
        <f>CONTROLE_DIARIO!O215</f>
        <v/>
      </c>
      <c r="P214" s="51" t="str">
        <f>CONTROLE_DIARIO!P215</f>
        <v/>
      </c>
      <c r="Q214" s="6">
        <f t="shared" si="26"/>
        <v>0</v>
      </c>
      <c r="R214" s="54" t="str">
        <f t="shared" si="27"/>
        <v>OK</v>
      </c>
      <c r="S214" s="3" t="str">
        <f t="shared" si="28"/>
        <v>jan/yy</v>
      </c>
      <c r="T214" s="3">
        <f t="shared" si="29"/>
        <v>1</v>
      </c>
      <c r="U214" s="3">
        <f t="shared" si="30"/>
        <v>1900</v>
      </c>
      <c r="V214" s="6">
        <f t="shared" si="31"/>
        <v>0</v>
      </c>
      <c r="W214" s="3" t="str">
        <f t="shared" si="32"/>
        <v>CRÍTICO</v>
      </c>
    </row>
    <row r="215" spans="1:23" x14ac:dyDescent="0.25">
      <c r="A215" s="2">
        <f>CONTROLE_DIARIO!A216</f>
        <v>0</v>
      </c>
      <c r="B215" s="51">
        <f>CONTROLE_DIARIO!B216</f>
        <v>0</v>
      </c>
      <c r="C215" s="3">
        <f>CONTROLE_DIARIO!C216</f>
        <v>0</v>
      </c>
      <c r="D215" s="3">
        <f>CONTROLE_DIARIO!D216</f>
        <v>0</v>
      </c>
      <c r="E215" s="3">
        <f>CONTROLE_DIARIO!E216</f>
        <v>0</v>
      </c>
      <c r="F215" s="3">
        <f>CONTROLE_DIARIO!F216</f>
        <v>0</v>
      </c>
      <c r="G215" s="3">
        <f>CONTROLE_DIARIO!G216</f>
        <v>0</v>
      </c>
      <c r="H215" s="3">
        <f>CONTROLE_DIARIO!H216</f>
        <v>0</v>
      </c>
      <c r="I215" s="3">
        <f>CONTROLE_DIARIO!I216</f>
        <v>0</v>
      </c>
      <c r="J215" s="3" t="str">
        <f>CONTROLE_DIARIO!J216</f>
        <v/>
      </c>
      <c r="K215" s="3" t="str">
        <f>CONTROLE_DIARIO!K216</f>
        <v/>
      </c>
      <c r="L215" s="51">
        <f>CONTROLE_DIARIO!L216</f>
        <v>0</v>
      </c>
      <c r="M215" s="51">
        <f>CONTROLE_DIARIO!M216</f>
        <v>0</v>
      </c>
      <c r="N215" s="3">
        <f>CONTROLE_DIARIO!N216</f>
        <v>0</v>
      </c>
      <c r="O215" s="3" t="str">
        <f>CONTROLE_DIARIO!O216</f>
        <v/>
      </c>
      <c r="P215" s="51" t="str">
        <f>CONTROLE_DIARIO!P216</f>
        <v/>
      </c>
      <c r="Q215" s="6">
        <f t="shared" si="26"/>
        <v>0</v>
      </c>
      <c r="R215" s="54" t="str">
        <f t="shared" si="27"/>
        <v>OK</v>
      </c>
      <c r="S215" s="3" t="str">
        <f t="shared" si="28"/>
        <v>jan/yy</v>
      </c>
      <c r="T215" s="3">
        <f t="shared" si="29"/>
        <v>1</v>
      </c>
      <c r="U215" s="3">
        <f t="shared" si="30"/>
        <v>1900</v>
      </c>
      <c r="V215" s="6">
        <f t="shared" si="31"/>
        <v>0</v>
      </c>
      <c r="W215" s="3" t="str">
        <f t="shared" si="32"/>
        <v>CRÍTICO</v>
      </c>
    </row>
    <row r="216" spans="1:23" x14ac:dyDescent="0.25">
      <c r="A216" s="2">
        <f>CONTROLE_DIARIO!A217</f>
        <v>0</v>
      </c>
      <c r="B216" s="51">
        <f>CONTROLE_DIARIO!B217</f>
        <v>0</v>
      </c>
      <c r="C216" s="3">
        <f>CONTROLE_DIARIO!C217</f>
        <v>0</v>
      </c>
      <c r="D216" s="3">
        <f>CONTROLE_DIARIO!D217</f>
        <v>0</v>
      </c>
      <c r="E216" s="3">
        <f>CONTROLE_DIARIO!E217</f>
        <v>0</v>
      </c>
      <c r="F216" s="3">
        <f>CONTROLE_DIARIO!F217</f>
        <v>0</v>
      </c>
      <c r="G216" s="3">
        <f>CONTROLE_DIARIO!G217</f>
        <v>0</v>
      </c>
      <c r="H216" s="3">
        <f>CONTROLE_DIARIO!H217</f>
        <v>0</v>
      </c>
      <c r="I216" s="3">
        <f>CONTROLE_DIARIO!I217</f>
        <v>0</v>
      </c>
      <c r="J216" s="3" t="str">
        <f>CONTROLE_DIARIO!J217</f>
        <v/>
      </c>
      <c r="K216" s="3" t="str">
        <f>CONTROLE_DIARIO!K217</f>
        <v/>
      </c>
      <c r="L216" s="51">
        <f>CONTROLE_DIARIO!L217</f>
        <v>0</v>
      </c>
      <c r="M216" s="51">
        <f>CONTROLE_DIARIO!M217</f>
        <v>0</v>
      </c>
      <c r="N216" s="3">
        <f>CONTROLE_DIARIO!N217</f>
        <v>0</v>
      </c>
      <c r="O216" s="3" t="str">
        <f>CONTROLE_DIARIO!O217</f>
        <v/>
      </c>
      <c r="P216" s="51" t="str">
        <f>CONTROLE_DIARIO!P217</f>
        <v/>
      </c>
      <c r="Q216" s="6">
        <f t="shared" si="26"/>
        <v>0</v>
      </c>
      <c r="R216" s="54" t="str">
        <f t="shared" si="27"/>
        <v>OK</v>
      </c>
      <c r="S216" s="3" t="str">
        <f t="shared" si="28"/>
        <v>jan/yy</v>
      </c>
      <c r="T216" s="3">
        <f t="shared" si="29"/>
        <v>1</v>
      </c>
      <c r="U216" s="3">
        <f t="shared" si="30"/>
        <v>1900</v>
      </c>
      <c r="V216" s="6">
        <f t="shared" si="31"/>
        <v>0</v>
      </c>
      <c r="W216" s="3" t="str">
        <f t="shared" si="32"/>
        <v>CRÍTICO</v>
      </c>
    </row>
    <row r="217" spans="1:23" x14ac:dyDescent="0.25">
      <c r="A217" s="2">
        <f>CONTROLE_DIARIO!A218</f>
        <v>0</v>
      </c>
      <c r="B217" s="51">
        <f>CONTROLE_DIARIO!B218</f>
        <v>0</v>
      </c>
      <c r="C217" s="3">
        <f>CONTROLE_DIARIO!C218</f>
        <v>0</v>
      </c>
      <c r="D217" s="3">
        <f>CONTROLE_DIARIO!D218</f>
        <v>0</v>
      </c>
      <c r="E217" s="3">
        <f>CONTROLE_DIARIO!E218</f>
        <v>0</v>
      </c>
      <c r="F217" s="3">
        <f>CONTROLE_DIARIO!F218</f>
        <v>0</v>
      </c>
      <c r="G217" s="3">
        <f>CONTROLE_DIARIO!G218</f>
        <v>0</v>
      </c>
      <c r="H217" s="3">
        <f>CONTROLE_DIARIO!H218</f>
        <v>0</v>
      </c>
      <c r="I217" s="3">
        <f>CONTROLE_DIARIO!I218</f>
        <v>0</v>
      </c>
      <c r="J217" s="3" t="str">
        <f>CONTROLE_DIARIO!J218</f>
        <v/>
      </c>
      <c r="K217" s="3" t="str">
        <f>CONTROLE_DIARIO!K218</f>
        <v/>
      </c>
      <c r="L217" s="51">
        <f>CONTROLE_DIARIO!L218</f>
        <v>0</v>
      </c>
      <c r="M217" s="51">
        <f>CONTROLE_DIARIO!M218</f>
        <v>0</v>
      </c>
      <c r="N217" s="3">
        <f>CONTROLE_DIARIO!N218</f>
        <v>0</v>
      </c>
      <c r="O217" s="3" t="str">
        <f>CONTROLE_DIARIO!O218</f>
        <v/>
      </c>
      <c r="P217" s="51" t="str">
        <f>CONTROLE_DIARIO!P218</f>
        <v/>
      </c>
      <c r="Q217" s="6">
        <f t="shared" si="26"/>
        <v>0</v>
      </c>
      <c r="R217" s="54" t="str">
        <f t="shared" si="27"/>
        <v>OK</v>
      </c>
      <c r="S217" s="3" t="str">
        <f t="shared" si="28"/>
        <v>jan/yy</v>
      </c>
      <c r="T217" s="3">
        <f t="shared" si="29"/>
        <v>1</v>
      </c>
      <c r="U217" s="3">
        <f t="shared" si="30"/>
        <v>1900</v>
      </c>
      <c r="V217" s="6">
        <f t="shared" si="31"/>
        <v>0</v>
      </c>
      <c r="W217" s="3" t="str">
        <f t="shared" si="32"/>
        <v>CRÍTICO</v>
      </c>
    </row>
    <row r="218" spans="1:23" x14ac:dyDescent="0.25">
      <c r="A218" s="2">
        <f>CONTROLE_DIARIO!A219</f>
        <v>0</v>
      </c>
      <c r="B218" s="51">
        <f>CONTROLE_DIARIO!B219</f>
        <v>0</v>
      </c>
      <c r="C218" s="3">
        <f>CONTROLE_DIARIO!C219</f>
        <v>0</v>
      </c>
      <c r="D218" s="3">
        <f>CONTROLE_DIARIO!D219</f>
        <v>0</v>
      </c>
      <c r="E218" s="3">
        <f>CONTROLE_DIARIO!E219</f>
        <v>0</v>
      </c>
      <c r="F218" s="3">
        <f>CONTROLE_DIARIO!F219</f>
        <v>0</v>
      </c>
      <c r="G218" s="3">
        <f>CONTROLE_DIARIO!G219</f>
        <v>0</v>
      </c>
      <c r="H218" s="3">
        <f>CONTROLE_DIARIO!H219</f>
        <v>0</v>
      </c>
      <c r="I218" s="3">
        <f>CONTROLE_DIARIO!I219</f>
        <v>0</v>
      </c>
      <c r="J218" s="3" t="str">
        <f>CONTROLE_DIARIO!J219</f>
        <v/>
      </c>
      <c r="K218" s="3" t="str">
        <f>CONTROLE_DIARIO!K219</f>
        <v/>
      </c>
      <c r="L218" s="51">
        <f>CONTROLE_DIARIO!L219</f>
        <v>0</v>
      </c>
      <c r="M218" s="51">
        <f>CONTROLE_DIARIO!M219</f>
        <v>0</v>
      </c>
      <c r="N218" s="3">
        <f>CONTROLE_DIARIO!N219</f>
        <v>0</v>
      </c>
      <c r="O218" s="3" t="str">
        <f>CONTROLE_DIARIO!O219</f>
        <v/>
      </c>
      <c r="P218" s="51" t="str">
        <f>CONTROLE_DIARIO!P219</f>
        <v/>
      </c>
      <c r="Q218" s="6">
        <f t="shared" si="26"/>
        <v>0</v>
      </c>
      <c r="R218" s="54" t="str">
        <f t="shared" si="27"/>
        <v>OK</v>
      </c>
      <c r="S218" s="3" t="str">
        <f t="shared" si="28"/>
        <v>jan/yy</v>
      </c>
      <c r="T218" s="3">
        <f t="shared" si="29"/>
        <v>1</v>
      </c>
      <c r="U218" s="3">
        <f t="shared" si="30"/>
        <v>1900</v>
      </c>
      <c r="V218" s="6">
        <f t="shared" si="31"/>
        <v>0</v>
      </c>
      <c r="W218" s="3" t="str">
        <f t="shared" si="32"/>
        <v>CRÍTICO</v>
      </c>
    </row>
    <row r="219" spans="1:23" x14ac:dyDescent="0.25">
      <c r="A219" s="2">
        <f>CONTROLE_DIARIO!A220</f>
        <v>0</v>
      </c>
      <c r="B219" s="51">
        <f>CONTROLE_DIARIO!B220</f>
        <v>0</v>
      </c>
      <c r="C219" s="3">
        <f>CONTROLE_DIARIO!C220</f>
        <v>0</v>
      </c>
      <c r="D219" s="3">
        <f>CONTROLE_DIARIO!D220</f>
        <v>0</v>
      </c>
      <c r="E219" s="3">
        <f>CONTROLE_DIARIO!E220</f>
        <v>0</v>
      </c>
      <c r="F219" s="3">
        <f>CONTROLE_DIARIO!F220</f>
        <v>0</v>
      </c>
      <c r="G219" s="3">
        <f>CONTROLE_DIARIO!G220</f>
        <v>0</v>
      </c>
      <c r="H219" s="3">
        <f>CONTROLE_DIARIO!H220</f>
        <v>0</v>
      </c>
      <c r="I219" s="3">
        <f>CONTROLE_DIARIO!I220</f>
        <v>0</v>
      </c>
      <c r="J219" s="3" t="str">
        <f>CONTROLE_DIARIO!J220</f>
        <v/>
      </c>
      <c r="K219" s="3" t="str">
        <f>CONTROLE_DIARIO!K220</f>
        <v/>
      </c>
      <c r="L219" s="51">
        <f>CONTROLE_DIARIO!L220</f>
        <v>0</v>
      </c>
      <c r="M219" s="51">
        <f>CONTROLE_DIARIO!M220</f>
        <v>0</v>
      </c>
      <c r="N219" s="3">
        <f>CONTROLE_DIARIO!N220</f>
        <v>0</v>
      </c>
      <c r="O219" s="3" t="str">
        <f>CONTROLE_DIARIO!O220</f>
        <v/>
      </c>
      <c r="P219" s="51" t="str">
        <f>CONTROLE_DIARIO!P220</f>
        <v/>
      </c>
      <c r="Q219" s="6">
        <f t="shared" si="26"/>
        <v>0</v>
      </c>
      <c r="R219" s="54" t="str">
        <f t="shared" si="27"/>
        <v>OK</v>
      </c>
      <c r="S219" s="3" t="str">
        <f t="shared" si="28"/>
        <v>jan/yy</v>
      </c>
      <c r="T219" s="3">
        <f t="shared" si="29"/>
        <v>1</v>
      </c>
      <c r="U219" s="3">
        <f t="shared" si="30"/>
        <v>1900</v>
      </c>
      <c r="V219" s="6">
        <f t="shared" si="31"/>
        <v>0</v>
      </c>
      <c r="W219" s="3" t="str">
        <f t="shared" si="32"/>
        <v>CRÍTICO</v>
      </c>
    </row>
    <row r="220" spans="1:23" x14ac:dyDescent="0.25">
      <c r="A220" s="2">
        <f>CONTROLE_DIARIO!A221</f>
        <v>0</v>
      </c>
      <c r="B220" s="51">
        <f>CONTROLE_DIARIO!B221</f>
        <v>0</v>
      </c>
      <c r="C220" s="3">
        <f>CONTROLE_DIARIO!C221</f>
        <v>0</v>
      </c>
      <c r="D220" s="3">
        <f>CONTROLE_DIARIO!D221</f>
        <v>0</v>
      </c>
      <c r="E220" s="3">
        <f>CONTROLE_DIARIO!E221</f>
        <v>0</v>
      </c>
      <c r="F220" s="3">
        <f>CONTROLE_DIARIO!F221</f>
        <v>0</v>
      </c>
      <c r="G220" s="3">
        <f>CONTROLE_DIARIO!G221</f>
        <v>0</v>
      </c>
      <c r="H220" s="3">
        <f>CONTROLE_DIARIO!H221</f>
        <v>0</v>
      </c>
      <c r="I220" s="3">
        <f>CONTROLE_DIARIO!I221</f>
        <v>0</v>
      </c>
      <c r="J220" s="3" t="str">
        <f>CONTROLE_DIARIO!J221</f>
        <v/>
      </c>
      <c r="K220" s="3" t="str">
        <f>CONTROLE_DIARIO!K221</f>
        <v/>
      </c>
      <c r="L220" s="51">
        <f>CONTROLE_DIARIO!L221</f>
        <v>0</v>
      </c>
      <c r="M220" s="51">
        <f>CONTROLE_DIARIO!M221</f>
        <v>0</v>
      </c>
      <c r="N220" s="3">
        <f>CONTROLE_DIARIO!N221</f>
        <v>0</v>
      </c>
      <c r="O220" s="3" t="str">
        <f>CONTROLE_DIARIO!O221</f>
        <v/>
      </c>
      <c r="P220" s="51" t="str">
        <f>CONTROLE_DIARIO!P221</f>
        <v/>
      </c>
      <c r="Q220" s="6">
        <f t="shared" si="26"/>
        <v>0</v>
      </c>
      <c r="R220" s="54" t="str">
        <f t="shared" si="27"/>
        <v>OK</v>
      </c>
      <c r="S220" s="3" t="str">
        <f t="shared" si="28"/>
        <v>jan/yy</v>
      </c>
      <c r="T220" s="3">
        <f t="shared" si="29"/>
        <v>1</v>
      </c>
      <c r="U220" s="3">
        <f t="shared" si="30"/>
        <v>1900</v>
      </c>
      <c r="V220" s="6">
        <f t="shared" si="31"/>
        <v>0</v>
      </c>
      <c r="W220" s="3" t="str">
        <f t="shared" si="32"/>
        <v>CRÍTICO</v>
      </c>
    </row>
    <row r="221" spans="1:23" x14ac:dyDescent="0.25">
      <c r="A221" s="2">
        <f>CONTROLE_DIARIO!A222</f>
        <v>0</v>
      </c>
      <c r="B221" s="51">
        <f>CONTROLE_DIARIO!B222</f>
        <v>0</v>
      </c>
      <c r="C221" s="3">
        <f>CONTROLE_DIARIO!C222</f>
        <v>0</v>
      </c>
      <c r="D221" s="3">
        <f>CONTROLE_DIARIO!D222</f>
        <v>0</v>
      </c>
      <c r="E221" s="3">
        <f>CONTROLE_DIARIO!E222</f>
        <v>0</v>
      </c>
      <c r="F221" s="3">
        <f>CONTROLE_DIARIO!F222</f>
        <v>0</v>
      </c>
      <c r="G221" s="3">
        <f>CONTROLE_DIARIO!G222</f>
        <v>0</v>
      </c>
      <c r="H221" s="3">
        <f>CONTROLE_DIARIO!H222</f>
        <v>0</v>
      </c>
      <c r="I221" s="3">
        <f>CONTROLE_DIARIO!I222</f>
        <v>0</v>
      </c>
      <c r="J221" s="3" t="str">
        <f>CONTROLE_DIARIO!J222</f>
        <v/>
      </c>
      <c r="K221" s="3" t="str">
        <f>CONTROLE_DIARIO!K222</f>
        <v/>
      </c>
      <c r="L221" s="51">
        <f>CONTROLE_DIARIO!L222</f>
        <v>0</v>
      </c>
      <c r="M221" s="51">
        <f>CONTROLE_DIARIO!M222</f>
        <v>0</v>
      </c>
      <c r="N221" s="3">
        <f>CONTROLE_DIARIO!N222</f>
        <v>0</v>
      </c>
      <c r="O221" s="3" t="str">
        <f>CONTROLE_DIARIO!O222</f>
        <v/>
      </c>
      <c r="P221" s="51" t="str">
        <f>CONTROLE_DIARIO!P222</f>
        <v/>
      </c>
      <c r="Q221" s="6">
        <f t="shared" si="26"/>
        <v>0</v>
      </c>
      <c r="R221" s="54" t="str">
        <f t="shared" si="27"/>
        <v>OK</v>
      </c>
      <c r="S221" s="3" t="str">
        <f t="shared" si="28"/>
        <v>jan/yy</v>
      </c>
      <c r="T221" s="3">
        <f t="shared" si="29"/>
        <v>1</v>
      </c>
      <c r="U221" s="3">
        <f t="shared" si="30"/>
        <v>1900</v>
      </c>
      <c r="V221" s="6">
        <f t="shared" si="31"/>
        <v>0</v>
      </c>
      <c r="W221" s="3" t="str">
        <f t="shared" si="32"/>
        <v>CRÍTICO</v>
      </c>
    </row>
    <row r="222" spans="1:23" x14ac:dyDescent="0.25">
      <c r="A222" s="2">
        <f>CONTROLE_DIARIO!A223</f>
        <v>0</v>
      </c>
      <c r="B222" s="51">
        <f>CONTROLE_DIARIO!B223</f>
        <v>0</v>
      </c>
      <c r="C222" s="3">
        <f>CONTROLE_DIARIO!C223</f>
        <v>0</v>
      </c>
      <c r="D222" s="3">
        <f>CONTROLE_DIARIO!D223</f>
        <v>0</v>
      </c>
      <c r="E222" s="3">
        <f>CONTROLE_DIARIO!E223</f>
        <v>0</v>
      </c>
      <c r="F222" s="3">
        <f>CONTROLE_DIARIO!F223</f>
        <v>0</v>
      </c>
      <c r="G222" s="3">
        <f>CONTROLE_DIARIO!G223</f>
        <v>0</v>
      </c>
      <c r="H222" s="3">
        <f>CONTROLE_DIARIO!H223</f>
        <v>0</v>
      </c>
      <c r="I222" s="3">
        <f>CONTROLE_DIARIO!I223</f>
        <v>0</v>
      </c>
      <c r="J222" s="3" t="str">
        <f>CONTROLE_DIARIO!J223</f>
        <v/>
      </c>
      <c r="K222" s="3" t="str">
        <f>CONTROLE_DIARIO!K223</f>
        <v/>
      </c>
      <c r="L222" s="51">
        <f>CONTROLE_DIARIO!L223</f>
        <v>0</v>
      </c>
      <c r="M222" s="51">
        <f>CONTROLE_DIARIO!M223</f>
        <v>0</v>
      </c>
      <c r="N222" s="3">
        <f>CONTROLE_DIARIO!N223</f>
        <v>0</v>
      </c>
      <c r="O222" s="3" t="str">
        <f>CONTROLE_DIARIO!O223</f>
        <v/>
      </c>
      <c r="P222" s="51" t="str">
        <f>CONTROLE_DIARIO!P223</f>
        <v/>
      </c>
      <c r="Q222" s="6">
        <f t="shared" si="26"/>
        <v>0</v>
      </c>
      <c r="R222" s="54" t="str">
        <f t="shared" si="27"/>
        <v>OK</v>
      </c>
      <c r="S222" s="3" t="str">
        <f t="shared" si="28"/>
        <v>jan/yy</v>
      </c>
      <c r="T222" s="3">
        <f t="shared" si="29"/>
        <v>1</v>
      </c>
      <c r="U222" s="3">
        <f t="shared" si="30"/>
        <v>1900</v>
      </c>
      <c r="V222" s="6">
        <f t="shared" si="31"/>
        <v>0</v>
      </c>
      <c r="W222" s="3" t="str">
        <f t="shared" si="32"/>
        <v>CRÍTICO</v>
      </c>
    </row>
    <row r="223" spans="1:23" x14ac:dyDescent="0.25">
      <c r="A223" s="2">
        <f>CONTROLE_DIARIO!A224</f>
        <v>0</v>
      </c>
      <c r="B223" s="51">
        <f>CONTROLE_DIARIO!B224</f>
        <v>0</v>
      </c>
      <c r="C223" s="3">
        <f>CONTROLE_DIARIO!C224</f>
        <v>0</v>
      </c>
      <c r="D223" s="3">
        <f>CONTROLE_DIARIO!D224</f>
        <v>0</v>
      </c>
      <c r="E223" s="3">
        <f>CONTROLE_DIARIO!E224</f>
        <v>0</v>
      </c>
      <c r="F223" s="3">
        <f>CONTROLE_DIARIO!F224</f>
        <v>0</v>
      </c>
      <c r="G223" s="3">
        <f>CONTROLE_DIARIO!G224</f>
        <v>0</v>
      </c>
      <c r="H223" s="3">
        <f>CONTROLE_DIARIO!H224</f>
        <v>0</v>
      </c>
      <c r="I223" s="3">
        <f>CONTROLE_DIARIO!I224</f>
        <v>0</v>
      </c>
      <c r="J223" s="3" t="str">
        <f>CONTROLE_DIARIO!J224</f>
        <v/>
      </c>
      <c r="K223" s="3" t="str">
        <f>CONTROLE_DIARIO!K224</f>
        <v/>
      </c>
      <c r="L223" s="51">
        <f>CONTROLE_DIARIO!L224</f>
        <v>0</v>
      </c>
      <c r="M223" s="51">
        <f>CONTROLE_DIARIO!M224</f>
        <v>0</v>
      </c>
      <c r="N223" s="3">
        <f>CONTROLE_DIARIO!N224</f>
        <v>0</v>
      </c>
      <c r="O223" s="3" t="str">
        <f>CONTROLE_DIARIO!O224</f>
        <v/>
      </c>
      <c r="P223" s="51" t="str">
        <f>CONTROLE_DIARIO!P224</f>
        <v/>
      </c>
      <c r="Q223" s="6">
        <f t="shared" si="26"/>
        <v>0</v>
      </c>
      <c r="R223" s="54" t="str">
        <f t="shared" si="27"/>
        <v>OK</v>
      </c>
      <c r="S223" s="3" t="str">
        <f t="shared" si="28"/>
        <v>jan/yy</v>
      </c>
      <c r="T223" s="3">
        <f t="shared" si="29"/>
        <v>1</v>
      </c>
      <c r="U223" s="3">
        <f t="shared" si="30"/>
        <v>1900</v>
      </c>
      <c r="V223" s="6">
        <f t="shared" si="31"/>
        <v>0</v>
      </c>
      <c r="W223" s="3" t="str">
        <f t="shared" si="32"/>
        <v>CRÍTICO</v>
      </c>
    </row>
    <row r="224" spans="1:23" x14ac:dyDescent="0.25">
      <c r="A224" s="2">
        <f>CONTROLE_DIARIO!A225</f>
        <v>0</v>
      </c>
      <c r="B224" s="51">
        <f>CONTROLE_DIARIO!B225</f>
        <v>0</v>
      </c>
      <c r="C224" s="3">
        <f>CONTROLE_DIARIO!C225</f>
        <v>0</v>
      </c>
      <c r="D224" s="3">
        <f>CONTROLE_DIARIO!D225</f>
        <v>0</v>
      </c>
      <c r="E224" s="3">
        <f>CONTROLE_DIARIO!E225</f>
        <v>0</v>
      </c>
      <c r="F224" s="3">
        <f>CONTROLE_DIARIO!F225</f>
        <v>0</v>
      </c>
      <c r="G224" s="3">
        <f>CONTROLE_DIARIO!G225</f>
        <v>0</v>
      </c>
      <c r="H224" s="3">
        <f>CONTROLE_DIARIO!H225</f>
        <v>0</v>
      </c>
      <c r="I224" s="3">
        <f>CONTROLE_DIARIO!I225</f>
        <v>0</v>
      </c>
      <c r="J224" s="3" t="str">
        <f>CONTROLE_DIARIO!J225</f>
        <v/>
      </c>
      <c r="K224" s="3" t="str">
        <f>CONTROLE_DIARIO!K225</f>
        <v/>
      </c>
      <c r="L224" s="51">
        <f>CONTROLE_DIARIO!L225</f>
        <v>0</v>
      </c>
      <c r="M224" s="51">
        <f>CONTROLE_DIARIO!M225</f>
        <v>0</v>
      </c>
      <c r="N224" s="3">
        <f>CONTROLE_DIARIO!N225</f>
        <v>0</v>
      </c>
      <c r="O224" s="3" t="str">
        <f>CONTROLE_DIARIO!O225</f>
        <v/>
      </c>
      <c r="P224" s="51" t="str">
        <f>CONTROLE_DIARIO!P225</f>
        <v/>
      </c>
      <c r="Q224" s="6">
        <f t="shared" si="26"/>
        <v>0</v>
      </c>
      <c r="R224" s="54" t="str">
        <f t="shared" si="27"/>
        <v>OK</v>
      </c>
      <c r="S224" s="3" t="str">
        <f t="shared" si="28"/>
        <v>jan/yy</v>
      </c>
      <c r="T224" s="3">
        <f t="shared" si="29"/>
        <v>1</v>
      </c>
      <c r="U224" s="3">
        <f t="shared" si="30"/>
        <v>1900</v>
      </c>
      <c r="V224" s="6">
        <f t="shared" si="31"/>
        <v>0</v>
      </c>
      <c r="W224" s="3" t="str">
        <f t="shared" si="32"/>
        <v>CRÍTICO</v>
      </c>
    </row>
    <row r="225" spans="1:23" x14ac:dyDescent="0.25">
      <c r="A225" s="2">
        <f>CONTROLE_DIARIO!A226</f>
        <v>0</v>
      </c>
      <c r="B225" s="51">
        <f>CONTROLE_DIARIO!B226</f>
        <v>0</v>
      </c>
      <c r="C225" s="3">
        <f>CONTROLE_DIARIO!C226</f>
        <v>0</v>
      </c>
      <c r="D225" s="3">
        <f>CONTROLE_DIARIO!D226</f>
        <v>0</v>
      </c>
      <c r="E225" s="3">
        <f>CONTROLE_DIARIO!E226</f>
        <v>0</v>
      </c>
      <c r="F225" s="3">
        <f>CONTROLE_DIARIO!F226</f>
        <v>0</v>
      </c>
      <c r="G225" s="3">
        <f>CONTROLE_DIARIO!G226</f>
        <v>0</v>
      </c>
      <c r="H225" s="3">
        <f>CONTROLE_DIARIO!H226</f>
        <v>0</v>
      </c>
      <c r="I225" s="3">
        <f>CONTROLE_DIARIO!I226</f>
        <v>0</v>
      </c>
      <c r="J225" s="3" t="str">
        <f>CONTROLE_DIARIO!J226</f>
        <v/>
      </c>
      <c r="K225" s="3" t="str">
        <f>CONTROLE_DIARIO!K226</f>
        <v/>
      </c>
      <c r="L225" s="51">
        <f>CONTROLE_DIARIO!L226</f>
        <v>0</v>
      </c>
      <c r="M225" s="51">
        <f>CONTROLE_DIARIO!M226</f>
        <v>0</v>
      </c>
      <c r="N225" s="3">
        <f>CONTROLE_DIARIO!N226</f>
        <v>0</v>
      </c>
      <c r="O225" s="3" t="str">
        <f>CONTROLE_DIARIO!O226</f>
        <v/>
      </c>
      <c r="P225" s="51" t="str">
        <f>CONTROLE_DIARIO!P226</f>
        <v/>
      </c>
      <c r="Q225" s="6">
        <f t="shared" si="26"/>
        <v>0</v>
      </c>
      <c r="R225" s="54" t="str">
        <f t="shared" si="27"/>
        <v>OK</v>
      </c>
      <c r="S225" s="3" t="str">
        <f t="shared" si="28"/>
        <v>jan/yy</v>
      </c>
      <c r="T225" s="3">
        <f t="shared" si="29"/>
        <v>1</v>
      </c>
      <c r="U225" s="3">
        <f t="shared" si="30"/>
        <v>1900</v>
      </c>
      <c r="V225" s="6">
        <f t="shared" si="31"/>
        <v>0</v>
      </c>
      <c r="W225" s="3" t="str">
        <f t="shared" si="32"/>
        <v>CRÍTICO</v>
      </c>
    </row>
    <row r="226" spans="1:23" x14ac:dyDescent="0.25">
      <c r="A226" s="2">
        <f>CONTROLE_DIARIO!A227</f>
        <v>0</v>
      </c>
      <c r="B226" s="51">
        <f>CONTROLE_DIARIO!B227</f>
        <v>0</v>
      </c>
      <c r="C226" s="3">
        <f>CONTROLE_DIARIO!C227</f>
        <v>0</v>
      </c>
      <c r="D226" s="3">
        <f>CONTROLE_DIARIO!D227</f>
        <v>0</v>
      </c>
      <c r="E226" s="3">
        <f>CONTROLE_DIARIO!E227</f>
        <v>0</v>
      </c>
      <c r="F226" s="3">
        <f>CONTROLE_DIARIO!F227</f>
        <v>0</v>
      </c>
      <c r="G226" s="3">
        <f>CONTROLE_DIARIO!G227</f>
        <v>0</v>
      </c>
      <c r="H226" s="3">
        <f>CONTROLE_DIARIO!H227</f>
        <v>0</v>
      </c>
      <c r="I226" s="3">
        <f>CONTROLE_DIARIO!I227</f>
        <v>0</v>
      </c>
      <c r="J226" s="3" t="str">
        <f>CONTROLE_DIARIO!J227</f>
        <v/>
      </c>
      <c r="K226" s="3" t="str">
        <f>CONTROLE_DIARIO!K227</f>
        <v/>
      </c>
      <c r="L226" s="51">
        <f>CONTROLE_DIARIO!L227</f>
        <v>0</v>
      </c>
      <c r="M226" s="51">
        <f>CONTROLE_DIARIO!M227</f>
        <v>0</v>
      </c>
      <c r="N226" s="3">
        <f>CONTROLE_DIARIO!N227</f>
        <v>0</v>
      </c>
      <c r="O226" s="3" t="str">
        <f>CONTROLE_DIARIO!O227</f>
        <v/>
      </c>
      <c r="P226" s="51" t="str">
        <f>CONTROLE_DIARIO!P227</f>
        <v/>
      </c>
      <c r="Q226" s="6">
        <f t="shared" si="26"/>
        <v>0</v>
      </c>
      <c r="R226" s="54" t="str">
        <f t="shared" si="27"/>
        <v>OK</v>
      </c>
      <c r="S226" s="3" t="str">
        <f t="shared" si="28"/>
        <v>jan/yy</v>
      </c>
      <c r="T226" s="3">
        <f t="shared" si="29"/>
        <v>1</v>
      </c>
      <c r="U226" s="3">
        <f t="shared" si="30"/>
        <v>1900</v>
      </c>
      <c r="V226" s="6">
        <f t="shared" si="31"/>
        <v>0</v>
      </c>
      <c r="W226" s="3" t="str">
        <f t="shared" si="32"/>
        <v>CRÍTICO</v>
      </c>
    </row>
    <row r="227" spans="1:23" x14ac:dyDescent="0.25">
      <c r="A227" s="2">
        <f>CONTROLE_DIARIO!A228</f>
        <v>0</v>
      </c>
      <c r="B227" s="51">
        <f>CONTROLE_DIARIO!B228</f>
        <v>0</v>
      </c>
      <c r="C227" s="3">
        <f>CONTROLE_DIARIO!C228</f>
        <v>0</v>
      </c>
      <c r="D227" s="3">
        <f>CONTROLE_DIARIO!D228</f>
        <v>0</v>
      </c>
      <c r="E227" s="3">
        <f>CONTROLE_DIARIO!E228</f>
        <v>0</v>
      </c>
      <c r="F227" s="3">
        <f>CONTROLE_DIARIO!F228</f>
        <v>0</v>
      </c>
      <c r="G227" s="3">
        <f>CONTROLE_DIARIO!G228</f>
        <v>0</v>
      </c>
      <c r="H227" s="3">
        <f>CONTROLE_DIARIO!H228</f>
        <v>0</v>
      </c>
      <c r="I227" s="3">
        <f>CONTROLE_DIARIO!I228</f>
        <v>0</v>
      </c>
      <c r="J227" s="3" t="str">
        <f>CONTROLE_DIARIO!J228</f>
        <v/>
      </c>
      <c r="K227" s="3" t="str">
        <f>CONTROLE_DIARIO!K228</f>
        <v/>
      </c>
      <c r="L227" s="51">
        <f>CONTROLE_DIARIO!L228</f>
        <v>0</v>
      </c>
      <c r="M227" s="51">
        <f>CONTROLE_DIARIO!M228</f>
        <v>0</v>
      </c>
      <c r="N227" s="3">
        <f>CONTROLE_DIARIO!N228</f>
        <v>0</v>
      </c>
      <c r="O227" s="3" t="str">
        <f>CONTROLE_DIARIO!O228</f>
        <v/>
      </c>
      <c r="P227" s="51" t="str">
        <f>CONTROLE_DIARIO!P228</f>
        <v/>
      </c>
      <c r="Q227" s="6">
        <f t="shared" si="26"/>
        <v>0</v>
      </c>
      <c r="R227" s="54" t="str">
        <f t="shared" si="27"/>
        <v>OK</v>
      </c>
      <c r="S227" s="3" t="str">
        <f t="shared" si="28"/>
        <v>jan/yy</v>
      </c>
      <c r="T227" s="3">
        <f t="shared" si="29"/>
        <v>1</v>
      </c>
      <c r="U227" s="3">
        <f t="shared" si="30"/>
        <v>1900</v>
      </c>
      <c r="V227" s="6">
        <f t="shared" si="31"/>
        <v>0</v>
      </c>
      <c r="W227" s="3" t="str">
        <f t="shared" si="32"/>
        <v>CRÍTICO</v>
      </c>
    </row>
    <row r="228" spans="1:23" x14ac:dyDescent="0.25">
      <c r="A228" s="2">
        <f>CONTROLE_DIARIO!A229</f>
        <v>0</v>
      </c>
      <c r="B228" s="51">
        <f>CONTROLE_DIARIO!B229</f>
        <v>0</v>
      </c>
      <c r="C228" s="3">
        <f>CONTROLE_DIARIO!C229</f>
        <v>0</v>
      </c>
      <c r="D228" s="3">
        <f>CONTROLE_DIARIO!D229</f>
        <v>0</v>
      </c>
      <c r="E228" s="3">
        <f>CONTROLE_DIARIO!E229</f>
        <v>0</v>
      </c>
      <c r="F228" s="3">
        <f>CONTROLE_DIARIO!F229</f>
        <v>0</v>
      </c>
      <c r="G228" s="3">
        <f>CONTROLE_DIARIO!G229</f>
        <v>0</v>
      </c>
      <c r="H228" s="3">
        <f>CONTROLE_DIARIO!H229</f>
        <v>0</v>
      </c>
      <c r="I228" s="3">
        <f>CONTROLE_DIARIO!I229</f>
        <v>0</v>
      </c>
      <c r="J228" s="3" t="str">
        <f>CONTROLE_DIARIO!J229</f>
        <v/>
      </c>
      <c r="K228" s="3" t="str">
        <f>CONTROLE_DIARIO!K229</f>
        <v/>
      </c>
      <c r="L228" s="51">
        <f>CONTROLE_DIARIO!L229</f>
        <v>0</v>
      </c>
      <c r="M228" s="51">
        <f>CONTROLE_DIARIO!M229</f>
        <v>0</v>
      </c>
      <c r="N228" s="3">
        <f>CONTROLE_DIARIO!N229</f>
        <v>0</v>
      </c>
      <c r="O228" s="3" t="str">
        <f>CONTROLE_DIARIO!O229</f>
        <v/>
      </c>
      <c r="P228" s="51" t="str">
        <f>CONTROLE_DIARIO!P229</f>
        <v/>
      </c>
      <c r="Q228" s="6">
        <f t="shared" si="26"/>
        <v>0</v>
      </c>
      <c r="R228" s="54" t="str">
        <f t="shared" si="27"/>
        <v>OK</v>
      </c>
      <c r="S228" s="3" t="str">
        <f t="shared" si="28"/>
        <v>jan/yy</v>
      </c>
      <c r="T228" s="3">
        <f t="shared" si="29"/>
        <v>1</v>
      </c>
      <c r="U228" s="3">
        <f t="shared" si="30"/>
        <v>1900</v>
      </c>
      <c r="V228" s="6">
        <f t="shared" si="31"/>
        <v>0</v>
      </c>
      <c r="W228" s="3" t="str">
        <f t="shared" si="32"/>
        <v>CRÍTICO</v>
      </c>
    </row>
    <row r="229" spans="1:23" x14ac:dyDescent="0.25">
      <c r="A229" s="2">
        <f>CONTROLE_DIARIO!A230</f>
        <v>0</v>
      </c>
      <c r="B229" s="51">
        <f>CONTROLE_DIARIO!B230</f>
        <v>0</v>
      </c>
      <c r="C229" s="3">
        <f>CONTROLE_DIARIO!C230</f>
        <v>0</v>
      </c>
      <c r="D229" s="3">
        <f>CONTROLE_DIARIO!D230</f>
        <v>0</v>
      </c>
      <c r="E229" s="3">
        <f>CONTROLE_DIARIO!E230</f>
        <v>0</v>
      </c>
      <c r="F229" s="3">
        <f>CONTROLE_DIARIO!F230</f>
        <v>0</v>
      </c>
      <c r="G229" s="3">
        <f>CONTROLE_DIARIO!G230</f>
        <v>0</v>
      </c>
      <c r="H229" s="3">
        <f>CONTROLE_DIARIO!H230</f>
        <v>0</v>
      </c>
      <c r="I229" s="3">
        <f>CONTROLE_DIARIO!I230</f>
        <v>0</v>
      </c>
      <c r="J229" s="3" t="str">
        <f>CONTROLE_DIARIO!J230</f>
        <v/>
      </c>
      <c r="K229" s="3" t="str">
        <f>CONTROLE_DIARIO!K230</f>
        <v/>
      </c>
      <c r="L229" s="51">
        <f>CONTROLE_DIARIO!L230</f>
        <v>0</v>
      </c>
      <c r="M229" s="51">
        <f>CONTROLE_DIARIO!M230</f>
        <v>0</v>
      </c>
      <c r="N229" s="3">
        <f>CONTROLE_DIARIO!N230</f>
        <v>0</v>
      </c>
      <c r="O229" s="3" t="str">
        <f>CONTROLE_DIARIO!O230</f>
        <v/>
      </c>
      <c r="P229" s="51" t="str">
        <f>CONTROLE_DIARIO!P230</f>
        <v/>
      </c>
      <c r="Q229" s="6">
        <f t="shared" si="26"/>
        <v>0</v>
      </c>
      <c r="R229" s="54" t="str">
        <f t="shared" si="27"/>
        <v>OK</v>
      </c>
      <c r="S229" s="3" t="str">
        <f t="shared" si="28"/>
        <v>jan/yy</v>
      </c>
      <c r="T229" s="3">
        <f t="shared" si="29"/>
        <v>1</v>
      </c>
      <c r="U229" s="3">
        <f t="shared" si="30"/>
        <v>1900</v>
      </c>
      <c r="V229" s="6">
        <f t="shared" si="31"/>
        <v>0</v>
      </c>
      <c r="W229" s="3" t="str">
        <f t="shared" si="32"/>
        <v>CRÍTICO</v>
      </c>
    </row>
    <row r="230" spans="1:23" x14ac:dyDescent="0.25">
      <c r="A230" s="2">
        <f>CONTROLE_DIARIO!A231</f>
        <v>0</v>
      </c>
      <c r="B230" s="51">
        <f>CONTROLE_DIARIO!B231</f>
        <v>0</v>
      </c>
      <c r="C230" s="3">
        <f>CONTROLE_DIARIO!C231</f>
        <v>0</v>
      </c>
      <c r="D230" s="3">
        <f>CONTROLE_DIARIO!D231</f>
        <v>0</v>
      </c>
      <c r="E230" s="3">
        <f>CONTROLE_DIARIO!E231</f>
        <v>0</v>
      </c>
      <c r="F230" s="3">
        <f>CONTROLE_DIARIO!F231</f>
        <v>0</v>
      </c>
      <c r="G230" s="3">
        <f>CONTROLE_DIARIO!G231</f>
        <v>0</v>
      </c>
      <c r="H230" s="3">
        <f>CONTROLE_DIARIO!H231</f>
        <v>0</v>
      </c>
      <c r="I230" s="3">
        <f>CONTROLE_DIARIO!I231</f>
        <v>0</v>
      </c>
      <c r="J230" s="3" t="str">
        <f>CONTROLE_DIARIO!J231</f>
        <v/>
      </c>
      <c r="K230" s="3" t="str">
        <f>CONTROLE_DIARIO!K231</f>
        <v/>
      </c>
      <c r="L230" s="51">
        <f>CONTROLE_DIARIO!L231</f>
        <v>0</v>
      </c>
      <c r="M230" s="51">
        <f>CONTROLE_DIARIO!M231</f>
        <v>0</v>
      </c>
      <c r="N230" s="3">
        <f>CONTROLE_DIARIO!N231</f>
        <v>0</v>
      </c>
      <c r="O230" s="3" t="str">
        <f>CONTROLE_DIARIO!O231</f>
        <v/>
      </c>
      <c r="P230" s="51" t="str">
        <f>CONTROLE_DIARIO!P231</f>
        <v/>
      </c>
      <c r="Q230" s="6">
        <f t="shared" si="26"/>
        <v>0</v>
      </c>
      <c r="R230" s="54" t="str">
        <f t="shared" si="27"/>
        <v>OK</v>
      </c>
      <c r="S230" s="3" t="str">
        <f t="shared" si="28"/>
        <v>jan/yy</v>
      </c>
      <c r="T230" s="3">
        <f t="shared" si="29"/>
        <v>1</v>
      </c>
      <c r="U230" s="3">
        <f t="shared" si="30"/>
        <v>1900</v>
      </c>
      <c r="V230" s="6">
        <f t="shared" si="31"/>
        <v>0</v>
      </c>
      <c r="W230" s="3" t="str">
        <f t="shared" si="32"/>
        <v>CRÍTICO</v>
      </c>
    </row>
    <row r="231" spans="1:23" x14ac:dyDescent="0.25">
      <c r="A231" s="2">
        <f>CONTROLE_DIARIO!A232</f>
        <v>0</v>
      </c>
      <c r="B231" s="51">
        <f>CONTROLE_DIARIO!B232</f>
        <v>0</v>
      </c>
      <c r="C231" s="3">
        <f>CONTROLE_DIARIO!C232</f>
        <v>0</v>
      </c>
      <c r="D231" s="3">
        <f>CONTROLE_DIARIO!D232</f>
        <v>0</v>
      </c>
      <c r="E231" s="3">
        <f>CONTROLE_DIARIO!E232</f>
        <v>0</v>
      </c>
      <c r="F231" s="3">
        <f>CONTROLE_DIARIO!F232</f>
        <v>0</v>
      </c>
      <c r="G231" s="3">
        <f>CONTROLE_DIARIO!G232</f>
        <v>0</v>
      </c>
      <c r="H231" s="3">
        <f>CONTROLE_DIARIO!H232</f>
        <v>0</v>
      </c>
      <c r="I231" s="3">
        <f>CONTROLE_DIARIO!I232</f>
        <v>0</v>
      </c>
      <c r="J231" s="3" t="str">
        <f>CONTROLE_DIARIO!J232</f>
        <v/>
      </c>
      <c r="K231" s="3" t="str">
        <f>CONTROLE_DIARIO!K232</f>
        <v/>
      </c>
      <c r="L231" s="51">
        <f>CONTROLE_DIARIO!L232</f>
        <v>0</v>
      </c>
      <c r="M231" s="51">
        <f>CONTROLE_DIARIO!M232</f>
        <v>0</v>
      </c>
      <c r="N231" s="3">
        <f>CONTROLE_DIARIO!N232</f>
        <v>0</v>
      </c>
      <c r="O231" s="3" t="str">
        <f>CONTROLE_DIARIO!O232</f>
        <v/>
      </c>
      <c r="P231" s="51" t="str">
        <f>CONTROLE_DIARIO!P232</f>
        <v/>
      </c>
      <c r="Q231" s="6">
        <f t="shared" si="26"/>
        <v>0</v>
      </c>
      <c r="R231" s="54" t="str">
        <f t="shared" si="27"/>
        <v>OK</v>
      </c>
      <c r="S231" s="3" t="str">
        <f t="shared" si="28"/>
        <v>jan/yy</v>
      </c>
      <c r="T231" s="3">
        <f t="shared" si="29"/>
        <v>1</v>
      </c>
      <c r="U231" s="3">
        <f t="shared" si="30"/>
        <v>1900</v>
      </c>
      <c r="V231" s="6">
        <f t="shared" si="31"/>
        <v>0</v>
      </c>
      <c r="W231" s="3" t="str">
        <f t="shared" si="32"/>
        <v>CRÍTICO</v>
      </c>
    </row>
    <row r="232" spans="1:23" x14ac:dyDescent="0.25">
      <c r="A232" s="2">
        <f>CONTROLE_DIARIO!A233</f>
        <v>0</v>
      </c>
      <c r="B232" s="51">
        <f>CONTROLE_DIARIO!B233</f>
        <v>0</v>
      </c>
      <c r="C232" s="3">
        <f>CONTROLE_DIARIO!C233</f>
        <v>0</v>
      </c>
      <c r="D232" s="3">
        <f>CONTROLE_DIARIO!D233</f>
        <v>0</v>
      </c>
      <c r="E232" s="3">
        <f>CONTROLE_DIARIO!E233</f>
        <v>0</v>
      </c>
      <c r="F232" s="3">
        <f>CONTROLE_DIARIO!F233</f>
        <v>0</v>
      </c>
      <c r="G232" s="3">
        <f>CONTROLE_DIARIO!G233</f>
        <v>0</v>
      </c>
      <c r="H232" s="3">
        <f>CONTROLE_DIARIO!H233</f>
        <v>0</v>
      </c>
      <c r="I232" s="3">
        <f>CONTROLE_DIARIO!I233</f>
        <v>0</v>
      </c>
      <c r="J232" s="3" t="str">
        <f>CONTROLE_DIARIO!J233</f>
        <v/>
      </c>
      <c r="K232" s="3" t="str">
        <f>CONTROLE_DIARIO!K233</f>
        <v/>
      </c>
      <c r="L232" s="51">
        <f>CONTROLE_DIARIO!L233</f>
        <v>0</v>
      </c>
      <c r="M232" s="51">
        <f>CONTROLE_DIARIO!M233</f>
        <v>0</v>
      </c>
      <c r="N232" s="3">
        <f>CONTROLE_DIARIO!N233</f>
        <v>0</v>
      </c>
      <c r="O232" s="3" t="str">
        <f>CONTROLE_DIARIO!O233</f>
        <v/>
      </c>
      <c r="P232" s="51" t="str">
        <f>CONTROLE_DIARIO!P233</f>
        <v/>
      </c>
      <c r="Q232" s="6">
        <f t="shared" si="26"/>
        <v>0</v>
      </c>
      <c r="R232" s="54" t="str">
        <f t="shared" si="27"/>
        <v>OK</v>
      </c>
      <c r="S232" s="3" t="str">
        <f t="shared" si="28"/>
        <v>jan/yy</v>
      </c>
      <c r="T232" s="3">
        <f t="shared" si="29"/>
        <v>1</v>
      </c>
      <c r="U232" s="3">
        <f t="shared" si="30"/>
        <v>1900</v>
      </c>
      <c r="V232" s="6">
        <f t="shared" si="31"/>
        <v>0</v>
      </c>
      <c r="W232" s="3" t="str">
        <f t="shared" si="32"/>
        <v>CRÍTICO</v>
      </c>
    </row>
    <row r="233" spans="1:23" x14ac:dyDescent="0.25">
      <c r="A233" s="2">
        <f>CONTROLE_DIARIO!A234</f>
        <v>0</v>
      </c>
      <c r="B233" s="51">
        <f>CONTROLE_DIARIO!B234</f>
        <v>0</v>
      </c>
      <c r="C233" s="3">
        <f>CONTROLE_DIARIO!C234</f>
        <v>0</v>
      </c>
      <c r="D233" s="3">
        <f>CONTROLE_DIARIO!D234</f>
        <v>0</v>
      </c>
      <c r="E233" s="3">
        <f>CONTROLE_DIARIO!E234</f>
        <v>0</v>
      </c>
      <c r="F233" s="3">
        <f>CONTROLE_DIARIO!F234</f>
        <v>0</v>
      </c>
      <c r="G233" s="3">
        <f>CONTROLE_DIARIO!G234</f>
        <v>0</v>
      </c>
      <c r="H233" s="3">
        <f>CONTROLE_DIARIO!H234</f>
        <v>0</v>
      </c>
      <c r="I233" s="3">
        <f>CONTROLE_DIARIO!I234</f>
        <v>0</v>
      </c>
      <c r="J233" s="3" t="str">
        <f>CONTROLE_DIARIO!J234</f>
        <v/>
      </c>
      <c r="K233" s="3" t="str">
        <f>CONTROLE_DIARIO!K234</f>
        <v/>
      </c>
      <c r="L233" s="51">
        <f>CONTROLE_DIARIO!L234</f>
        <v>0</v>
      </c>
      <c r="M233" s="51">
        <f>CONTROLE_DIARIO!M234</f>
        <v>0</v>
      </c>
      <c r="N233" s="3">
        <f>CONTROLE_DIARIO!N234</f>
        <v>0</v>
      </c>
      <c r="O233" s="3" t="str">
        <f>CONTROLE_DIARIO!O234</f>
        <v/>
      </c>
      <c r="P233" s="51" t="str">
        <f>CONTROLE_DIARIO!P234</f>
        <v/>
      </c>
      <c r="Q233" s="6">
        <f t="shared" si="26"/>
        <v>0</v>
      </c>
      <c r="R233" s="54" t="str">
        <f t="shared" si="27"/>
        <v>OK</v>
      </c>
      <c r="S233" s="3" t="str">
        <f t="shared" si="28"/>
        <v>jan/yy</v>
      </c>
      <c r="T233" s="3">
        <f t="shared" si="29"/>
        <v>1</v>
      </c>
      <c r="U233" s="3">
        <f t="shared" si="30"/>
        <v>1900</v>
      </c>
      <c r="V233" s="6">
        <f t="shared" si="31"/>
        <v>0</v>
      </c>
      <c r="W233" s="3" t="str">
        <f t="shared" si="32"/>
        <v>CRÍTICO</v>
      </c>
    </row>
    <row r="234" spans="1:23" x14ac:dyDescent="0.25">
      <c r="A234" s="2">
        <f>CONTROLE_DIARIO!A235</f>
        <v>0</v>
      </c>
      <c r="B234" s="51">
        <f>CONTROLE_DIARIO!B235</f>
        <v>0</v>
      </c>
      <c r="C234" s="3">
        <f>CONTROLE_DIARIO!C235</f>
        <v>0</v>
      </c>
      <c r="D234" s="3">
        <f>CONTROLE_DIARIO!D235</f>
        <v>0</v>
      </c>
      <c r="E234" s="3">
        <f>CONTROLE_DIARIO!E235</f>
        <v>0</v>
      </c>
      <c r="F234" s="3">
        <f>CONTROLE_DIARIO!F235</f>
        <v>0</v>
      </c>
      <c r="G234" s="3">
        <f>CONTROLE_DIARIO!G235</f>
        <v>0</v>
      </c>
      <c r="H234" s="3">
        <f>CONTROLE_DIARIO!H235</f>
        <v>0</v>
      </c>
      <c r="I234" s="3">
        <f>CONTROLE_DIARIO!I235</f>
        <v>0</v>
      </c>
      <c r="J234" s="3" t="str">
        <f>CONTROLE_DIARIO!J235</f>
        <v/>
      </c>
      <c r="K234" s="3" t="str">
        <f>CONTROLE_DIARIO!K235</f>
        <v/>
      </c>
      <c r="L234" s="51">
        <f>CONTROLE_DIARIO!L235</f>
        <v>0</v>
      </c>
      <c r="M234" s="51">
        <f>CONTROLE_DIARIO!M235</f>
        <v>0</v>
      </c>
      <c r="N234" s="3">
        <f>CONTROLE_DIARIO!N235</f>
        <v>0</v>
      </c>
      <c r="O234" s="3" t="str">
        <f>CONTROLE_DIARIO!O235</f>
        <v/>
      </c>
      <c r="P234" s="51" t="str">
        <f>CONTROLE_DIARIO!P235</f>
        <v/>
      </c>
      <c r="Q234" s="6">
        <f t="shared" si="26"/>
        <v>0</v>
      </c>
      <c r="R234" s="54" t="str">
        <f t="shared" si="27"/>
        <v>OK</v>
      </c>
      <c r="S234" s="3" t="str">
        <f t="shared" si="28"/>
        <v>jan/yy</v>
      </c>
      <c r="T234" s="3">
        <f t="shared" si="29"/>
        <v>1</v>
      </c>
      <c r="U234" s="3">
        <f t="shared" si="30"/>
        <v>1900</v>
      </c>
      <c r="V234" s="6">
        <f t="shared" si="31"/>
        <v>0</v>
      </c>
      <c r="W234" s="3" t="str">
        <f t="shared" si="32"/>
        <v>CRÍTICO</v>
      </c>
    </row>
    <row r="235" spans="1:23" x14ac:dyDescent="0.25">
      <c r="A235" s="2">
        <f>CONTROLE_DIARIO!A236</f>
        <v>0</v>
      </c>
      <c r="B235" s="51">
        <f>CONTROLE_DIARIO!B236</f>
        <v>0</v>
      </c>
      <c r="C235" s="3">
        <f>CONTROLE_DIARIO!C236</f>
        <v>0</v>
      </c>
      <c r="D235" s="3">
        <f>CONTROLE_DIARIO!D236</f>
        <v>0</v>
      </c>
      <c r="E235" s="3">
        <f>CONTROLE_DIARIO!E236</f>
        <v>0</v>
      </c>
      <c r="F235" s="3">
        <f>CONTROLE_DIARIO!F236</f>
        <v>0</v>
      </c>
      <c r="G235" s="3">
        <f>CONTROLE_DIARIO!G236</f>
        <v>0</v>
      </c>
      <c r="H235" s="3">
        <f>CONTROLE_DIARIO!H236</f>
        <v>0</v>
      </c>
      <c r="I235" s="3">
        <f>CONTROLE_DIARIO!I236</f>
        <v>0</v>
      </c>
      <c r="J235" s="3" t="str">
        <f>CONTROLE_DIARIO!J236</f>
        <v/>
      </c>
      <c r="K235" s="3" t="str">
        <f>CONTROLE_DIARIO!K236</f>
        <v/>
      </c>
      <c r="L235" s="51">
        <f>CONTROLE_DIARIO!L236</f>
        <v>0</v>
      </c>
      <c r="M235" s="51">
        <f>CONTROLE_DIARIO!M236</f>
        <v>0</v>
      </c>
      <c r="N235" s="3">
        <f>CONTROLE_DIARIO!N236</f>
        <v>0</v>
      </c>
      <c r="O235" s="3" t="str">
        <f>CONTROLE_DIARIO!O236</f>
        <v/>
      </c>
      <c r="P235" s="51" t="str">
        <f>CONTROLE_DIARIO!P236</f>
        <v/>
      </c>
      <c r="Q235" s="6">
        <f t="shared" si="26"/>
        <v>0</v>
      </c>
      <c r="R235" s="54" t="str">
        <f t="shared" si="27"/>
        <v>OK</v>
      </c>
      <c r="S235" s="3" t="str">
        <f t="shared" si="28"/>
        <v>jan/yy</v>
      </c>
      <c r="T235" s="3">
        <f t="shared" si="29"/>
        <v>1</v>
      </c>
      <c r="U235" s="3">
        <f t="shared" si="30"/>
        <v>1900</v>
      </c>
      <c r="V235" s="6">
        <f t="shared" si="31"/>
        <v>0</v>
      </c>
      <c r="W235" s="3" t="str">
        <f t="shared" si="32"/>
        <v>CRÍTICO</v>
      </c>
    </row>
    <row r="236" spans="1:23" x14ac:dyDescent="0.25">
      <c r="A236" s="2">
        <f>CONTROLE_DIARIO!A237</f>
        <v>0</v>
      </c>
      <c r="B236" s="51">
        <f>CONTROLE_DIARIO!B237</f>
        <v>0</v>
      </c>
      <c r="C236" s="3">
        <f>CONTROLE_DIARIO!C237</f>
        <v>0</v>
      </c>
      <c r="D236" s="3">
        <f>CONTROLE_DIARIO!D237</f>
        <v>0</v>
      </c>
      <c r="E236" s="3">
        <f>CONTROLE_DIARIO!E237</f>
        <v>0</v>
      </c>
      <c r="F236" s="3">
        <f>CONTROLE_DIARIO!F237</f>
        <v>0</v>
      </c>
      <c r="G236" s="3">
        <f>CONTROLE_DIARIO!G237</f>
        <v>0</v>
      </c>
      <c r="H236" s="3">
        <f>CONTROLE_DIARIO!H237</f>
        <v>0</v>
      </c>
      <c r="I236" s="3">
        <f>CONTROLE_DIARIO!I237</f>
        <v>0</v>
      </c>
      <c r="J236" s="3" t="str">
        <f>CONTROLE_DIARIO!J237</f>
        <v/>
      </c>
      <c r="K236" s="3" t="str">
        <f>CONTROLE_DIARIO!K237</f>
        <v/>
      </c>
      <c r="L236" s="51">
        <f>CONTROLE_DIARIO!L237</f>
        <v>0</v>
      </c>
      <c r="M236" s="51">
        <f>CONTROLE_DIARIO!M237</f>
        <v>0</v>
      </c>
      <c r="N236" s="3">
        <f>CONTROLE_DIARIO!N237</f>
        <v>0</v>
      </c>
      <c r="O236" s="3" t="str">
        <f>CONTROLE_DIARIO!O237</f>
        <v/>
      </c>
      <c r="P236" s="51" t="str">
        <f>CONTROLE_DIARIO!P237</f>
        <v/>
      </c>
      <c r="Q236" s="6">
        <f t="shared" si="26"/>
        <v>0</v>
      </c>
      <c r="R236" s="54" t="str">
        <f t="shared" si="27"/>
        <v>OK</v>
      </c>
      <c r="S236" s="3" t="str">
        <f t="shared" si="28"/>
        <v>jan/yy</v>
      </c>
      <c r="T236" s="3">
        <f t="shared" si="29"/>
        <v>1</v>
      </c>
      <c r="U236" s="3">
        <f t="shared" si="30"/>
        <v>1900</v>
      </c>
      <c r="V236" s="6">
        <f t="shared" si="31"/>
        <v>0</v>
      </c>
      <c r="W236" s="3" t="str">
        <f t="shared" si="32"/>
        <v>CRÍTICO</v>
      </c>
    </row>
    <row r="237" spans="1:23" x14ac:dyDescent="0.25">
      <c r="A237" s="2">
        <f>CONTROLE_DIARIO!A238</f>
        <v>0</v>
      </c>
      <c r="B237" s="51">
        <f>CONTROLE_DIARIO!B238</f>
        <v>0</v>
      </c>
      <c r="C237" s="3">
        <f>CONTROLE_DIARIO!C238</f>
        <v>0</v>
      </c>
      <c r="D237" s="3">
        <f>CONTROLE_DIARIO!D238</f>
        <v>0</v>
      </c>
      <c r="E237" s="3">
        <f>CONTROLE_DIARIO!E238</f>
        <v>0</v>
      </c>
      <c r="F237" s="3">
        <f>CONTROLE_DIARIO!F238</f>
        <v>0</v>
      </c>
      <c r="G237" s="3">
        <f>CONTROLE_DIARIO!G238</f>
        <v>0</v>
      </c>
      <c r="H237" s="3">
        <f>CONTROLE_DIARIO!H238</f>
        <v>0</v>
      </c>
      <c r="I237" s="3">
        <f>CONTROLE_DIARIO!I238</f>
        <v>0</v>
      </c>
      <c r="J237" s="3" t="str">
        <f>CONTROLE_DIARIO!J238</f>
        <v/>
      </c>
      <c r="K237" s="3" t="str">
        <f>CONTROLE_DIARIO!K238</f>
        <v/>
      </c>
      <c r="L237" s="51">
        <f>CONTROLE_DIARIO!L238</f>
        <v>0</v>
      </c>
      <c r="M237" s="51">
        <f>CONTROLE_DIARIO!M238</f>
        <v>0</v>
      </c>
      <c r="N237" s="3">
        <f>CONTROLE_DIARIO!N238</f>
        <v>0</v>
      </c>
      <c r="O237" s="3" t="str">
        <f>CONTROLE_DIARIO!O238</f>
        <v/>
      </c>
      <c r="P237" s="51" t="str">
        <f>CONTROLE_DIARIO!P238</f>
        <v/>
      </c>
      <c r="Q237" s="6">
        <f t="shared" si="26"/>
        <v>0</v>
      </c>
      <c r="R237" s="54" t="str">
        <f t="shared" si="27"/>
        <v>OK</v>
      </c>
      <c r="S237" s="3" t="str">
        <f t="shared" si="28"/>
        <v>jan/yy</v>
      </c>
      <c r="T237" s="3">
        <f t="shared" si="29"/>
        <v>1</v>
      </c>
      <c r="U237" s="3">
        <f t="shared" si="30"/>
        <v>1900</v>
      </c>
      <c r="V237" s="6">
        <f t="shared" si="31"/>
        <v>0</v>
      </c>
      <c r="W237" s="3" t="str">
        <f t="shared" si="32"/>
        <v>CRÍTICO</v>
      </c>
    </row>
    <row r="238" spans="1:23" x14ac:dyDescent="0.25">
      <c r="A238" s="2">
        <f>CONTROLE_DIARIO!A239</f>
        <v>0</v>
      </c>
      <c r="B238" s="51">
        <f>CONTROLE_DIARIO!B239</f>
        <v>0</v>
      </c>
      <c r="C238" s="3">
        <f>CONTROLE_DIARIO!C239</f>
        <v>0</v>
      </c>
      <c r="D238" s="3">
        <f>CONTROLE_DIARIO!D239</f>
        <v>0</v>
      </c>
      <c r="E238" s="3">
        <f>CONTROLE_DIARIO!E239</f>
        <v>0</v>
      </c>
      <c r="F238" s="3">
        <f>CONTROLE_DIARIO!F239</f>
        <v>0</v>
      </c>
      <c r="G238" s="3">
        <f>CONTROLE_DIARIO!G239</f>
        <v>0</v>
      </c>
      <c r="H238" s="3">
        <f>CONTROLE_DIARIO!H239</f>
        <v>0</v>
      </c>
      <c r="I238" s="3">
        <f>CONTROLE_DIARIO!I239</f>
        <v>0</v>
      </c>
      <c r="J238" s="3" t="str">
        <f>CONTROLE_DIARIO!J239</f>
        <v/>
      </c>
      <c r="K238" s="3" t="str">
        <f>CONTROLE_DIARIO!K239</f>
        <v/>
      </c>
      <c r="L238" s="51">
        <f>CONTROLE_DIARIO!L239</f>
        <v>0</v>
      </c>
      <c r="M238" s="51">
        <f>CONTROLE_DIARIO!M239</f>
        <v>0</v>
      </c>
      <c r="N238" s="3">
        <f>CONTROLE_DIARIO!N239</f>
        <v>0</v>
      </c>
      <c r="O238" s="3" t="str">
        <f>CONTROLE_DIARIO!O239</f>
        <v/>
      </c>
      <c r="P238" s="51" t="str">
        <f>CONTROLE_DIARIO!P239</f>
        <v/>
      </c>
      <c r="Q238" s="6">
        <f t="shared" si="26"/>
        <v>0</v>
      </c>
      <c r="R238" s="54" t="str">
        <f t="shared" si="27"/>
        <v>OK</v>
      </c>
      <c r="S238" s="3" t="str">
        <f t="shared" si="28"/>
        <v>jan/yy</v>
      </c>
      <c r="T238" s="3">
        <f t="shared" si="29"/>
        <v>1</v>
      </c>
      <c r="U238" s="3">
        <f t="shared" si="30"/>
        <v>1900</v>
      </c>
      <c r="V238" s="6">
        <f t="shared" si="31"/>
        <v>0</v>
      </c>
      <c r="W238" s="3" t="str">
        <f t="shared" si="32"/>
        <v>CRÍTICO</v>
      </c>
    </row>
    <row r="239" spans="1:23" x14ac:dyDescent="0.25">
      <c r="A239" s="2">
        <f>CONTROLE_DIARIO!A240</f>
        <v>0</v>
      </c>
      <c r="B239" s="51">
        <f>CONTROLE_DIARIO!B240</f>
        <v>0</v>
      </c>
      <c r="C239" s="3">
        <f>CONTROLE_DIARIO!C240</f>
        <v>0</v>
      </c>
      <c r="D239" s="3">
        <f>CONTROLE_DIARIO!D240</f>
        <v>0</v>
      </c>
      <c r="E239" s="3">
        <f>CONTROLE_DIARIO!E240</f>
        <v>0</v>
      </c>
      <c r="F239" s="3">
        <f>CONTROLE_DIARIO!F240</f>
        <v>0</v>
      </c>
      <c r="G239" s="3">
        <f>CONTROLE_DIARIO!G240</f>
        <v>0</v>
      </c>
      <c r="H239" s="3">
        <f>CONTROLE_DIARIO!H240</f>
        <v>0</v>
      </c>
      <c r="I239" s="3">
        <f>CONTROLE_DIARIO!I240</f>
        <v>0</v>
      </c>
      <c r="J239" s="3" t="str">
        <f>CONTROLE_DIARIO!J240</f>
        <v/>
      </c>
      <c r="K239" s="3" t="str">
        <f>CONTROLE_DIARIO!K240</f>
        <v/>
      </c>
      <c r="L239" s="51">
        <f>CONTROLE_DIARIO!L240</f>
        <v>0</v>
      </c>
      <c r="M239" s="51">
        <f>CONTROLE_DIARIO!M240</f>
        <v>0</v>
      </c>
      <c r="N239" s="3">
        <f>CONTROLE_DIARIO!N240</f>
        <v>0</v>
      </c>
      <c r="O239" s="3" t="str">
        <f>CONTROLE_DIARIO!O240</f>
        <v/>
      </c>
      <c r="P239" s="51" t="str">
        <f>CONTROLE_DIARIO!P240</f>
        <v/>
      </c>
      <c r="Q239" s="6">
        <f t="shared" si="26"/>
        <v>0</v>
      </c>
      <c r="R239" s="54" t="str">
        <f t="shared" si="27"/>
        <v>OK</v>
      </c>
      <c r="S239" s="3" t="str">
        <f t="shared" si="28"/>
        <v>jan/yy</v>
      </c>
      <c r="T239" s="3">
        <f t="shared" si="29"/>
        <v>1</v>
      </c>
      <c r="U239" s="3">
        <f t="shared" si="30"/>
        <v>1900</v>
      </c>
      <c r="V239" s="6">
        <f t="shared" si="31"/>
        <v>0</v>
      </c>
      <c r="W239" s="3" t="str">
        <f t="shared" si="32"/>
        <v>CRÍTICO</v>
      </c>
    </row>
    <row r="240" spans="1:23" x14ac:dyDescent="0.25">
      <c r="A240" s="2">
        <f>CONTROLE_DIARIO!A241</f>
        <v>0</v>
      </c>
      <c r="B240" s="51">
        <f>CONTROLE_DIARIO!B241</f>
        <v>0</v>
      </c>
      <c r="C240" s="3">
        <f>CONTROLE_DIARIO!C241</f>
        <v>0</v>
      </c>
      <c r="D240" s="3">
        <f>CONTROLE_DIARIO!D241</f>
        <v>0</v>
      </c>
      <c r="E240" s="3">
        <f>CONTROLE_DIARIO!E241</f>
        <v>0</v>
      </c>
      <c r="F240" s="3">
        <f>CONTROLE_DIARIO!F241</f>
        <v>0</v>
      </c>
      <c r="G240" s="3">
        <f>CONTROLE_DIARIO!G241</f>
        <v>0</v>
      </c>
      <c r="H240" s="3">
        <f>CONTROLE_DIARIO!H241</f>
        <v>0</v>
      </c>
      <c r="I240" s="3">
        <f>CONTROLE_DIARIO!I241</f>
        <v>0</v>
      </c>
      <c r="J240" s="3" t="str">
        <f>CONTROLE_DIARIO!J241</f>
        <v/>
      </c>
      <c r="K240" s="3" t="str">
        <f>CONTROLE_DIARIO!K241</f>
        <v/>
      </c>
      <c r="L240" s="51">
        <f>CONTROLE_DIARIO!L241</f>
        <v>0</v>
      </c>
      <c r="M240" s="51">
        <f>CONTROLE_DIARIO!M241</f>
        <v>0</v>
      </c>
      <c r="N240" s="3">
        <f>CONTROLE_DIARIO!N241</f>
        <v>0</v>
      </c>
      <c r="O240" s="3" t="str">
        <f>CONTROLE_DIARIO!O241</f>
        <v/>
      </c>
      <c r="P240" s="51" t="str">
        <f>CONTROLE_DIARIO!P241</f>
        <v/>
      </c>
      <c r="Q240" s="6">
        <f t="shared" si="26"/>
        <v>0</v>
      </c>
      <c r="R240" s="54" t="str">
        <f t="shared" si="27"/>
        <v>OK</v>
      </c>
      <c r="S240" s="3" t="str">
        <f t="shared" si="28"/>
        <v>jan/yy</v>
      </c>
      <c r="T240" s="3">
        <f t="shared" si="29"/>
        <v>1</v>
      </c>
      <c r="U240" s="3">
        <f t="shared" si="30"/>
        <v>1900</v>
      </c>
      <c r="V240" s="6">
        <f t="shared" si="31"/>
        <v>0</v>
      </c>
      <c r="W240" s="3" t="str">
        <f t="shared" si="32"/>
        <v>CRÍTICO</v>
      </c>
    </row>
    <row r="241" spans="1:23" x14ac:dyDescent="0.25">
      <c r="A241" s="2">
        <f>CONTROLE_DIARIO!A242</f>
        <v>0</v>
      </c>
      <c r="B241" s="51">
        <f>CONTROLE_DIARIO!B242</f>
        <v>0</v>
      </c>
      <c r="C241" s="3">
        <f>CONTROLE_DIARIO!C242</f>
        <v>0</v>
      </c>
      <c r="D241" s="3">
        <f>CONTROLE_DIARIO!D242</f>
        <v>0</v>
      </c>
      <c r="E241" s="3">
        <f>CONTROLE_DIARIO!E242</f>
        <v>0</v>
      </c>
      <c r="F241" s="3">
        <f>CONTROLE_DIARIO!F242</f>
        <v>0</v>
      </c>
      <c r="G241" s="3">
        <f>CONTROLE_DIARIO!G242</f>
        <v>0</v>
      </c>
      <c r="H241" s="3">
        <f>CONTROLE_DIARIO!H242</f>
        <v>0</v>
      </c>
      <c r="I241" s="3">
        <f>CONTROLE_DIARIO!I242</f>
        <v>0</v>
      </c>
      <c r="J241" s="3" t="str">
        <f>CONTROLE_DIARIO!J242</f>
        <v/>
      </c>
      <c r="K241" s="3" t="str">
        <f>CONTROLE_DIARIO!K242</f>
        <v/>
      </c>
      <c r="L241" s="51">
        <f>CONTROLE_DIARIO!L242</f>
        <v>0</v>
      </c>
      <c r="M241" s="51">
        <f>CONTROLE_DIARIO!M242</f>
        <v>0</v>
      </c>
      <c r="N241" s="3">
        <f>CONTROLE_DIARIO!N242</f>
        <v>0</v>
      </c>
      <c r="O241" s="3" t="str">
        <f>CONTROLE_DIARIO!O242</f>
        <v/>
      </c>
      <c r="P241" s="51" t="str">
        <f>CONTROLE_DIARIO!P242</f>
        <v/>
      </c>
      <c r="Q241" s="6">
        <f t="shared" si="26"/>
        <v>0</v>
      </c>
      <c r="R241" s="54" t="str">
        <f t="shared" si="27"/>
        <v>OK</v>
      </c>
      <c r="S241" s="3" t="str">
        <f t="shared" si="28"/>
        <v>jan/yy</v>
      </c>
      <c r="T241" s="3">
        <f t="shared" si="29"/>
        <v>1</v>
      </c>
      <c r="U241" s="3">
        <f t="shared" si="30"/>
        <v>1900</v>
      </c>
      <c r="V241" s="6">
        <f t="shared" si="31"/>
        <v>0</v>
      </c>
      <c r="W241" s="3" t="str">
        <f t="shared" si="32"/>
        <v>CRÍTICO</v>
      </c>
    </row>
    <row r="242" spans="1:23" x14ac:dyDescent="0.25">
      <c r="A242" s="2">
        <f>CONTROLE_DIARIO!A243</f>
        <v>0</v>
      </c>
      <c r="B242" s="51">
        <f>CONTROLE_DIARIO!B243</f>
        <v>0</v>
      </c>
      <c r="C242" s="3">
        <f>CONTROLE_DIARIO!C243</f>
        <v>0</v>
      </c>
      <c r="D242" s="3">
        <f>CONTROLE_DIARIO!D243</f>
        <v>0</v>
      </c>
      <c r="E242" s="3">
        <f>CONTROLE_DIARIO!E243</f>
        <v>0</v>
      </c>
      <c r="F242" s="3">
        <f>CONTROLE_DIARIO!F243</f>
        <v>0</v>
      </c>
      <c r="G242" s="3">
        <f>CONTROLE_DIARIO!G243</f>
        <v>0</v>
      </c>
      <c r="H242" s="3">
        <f>CONTROLE_DIARIO!H243</f>
        <v>0</v>
      </c>
      <c r="I242" s="3">
        <f>CONTROLE_DIARIO!I243</f>
        <v>0</v>
      </c>
      <c r="J242" s="3" t="str">
        <f>CONTROLE_DIARIO!J243</f>
        <v/>
      </c>
      <c r="K242" s="3" t="str">
        <f>CONTROLE_DIARIO!K243</f>
        <v/>
      </c>
      <c r="L242" s="51">
        <f>CONTROLE_DIARIO!L243</f>
        <v>0</v>
      </c>
      <c r="M242" s="51">
        <f>CONTROLE_DIARIO!M243</f>
        <v>0</v>
      </c>
      <c r="N242" s="3">
        <f>CONTROLE_DIARIO!N243</f>
        <v>0</v>
      </c>
      <c r="O242" s="3" t="str">
        <f>CONTROLE_DIARIO!O243</f>
        <v/>
      </c>
      <c r="P242" s="51" t="str">
        <f>CONTROLE_DIARIO!P243</f>
        <v/>
      </c>
      <c r="Q242" s="6">
        <f t="shared" si="26"/>
        <v>0</v>
      </c>
      <c r="R242" s="54" t="str">
        <f t="shared" si="27"/>
        <v>OK</v>
      </c>
      <c r="S242" s="3" t="str">
        <f t="shared" si="28"/>
        <v>jan/yy</v>
      </c>
      <c r="T242" s="3">
        <f t="shared" si="29"/>
        <v>1</v>
      </c>
      <c r="U242" s="3">
        <f t="shared" si="30"/>
        <v>1900</v>
      </c>
      <c r="V242" s="6">
        <f t="shared" si="31"/>
        <v>0</v>
      </c>
      <c r="W242" s="3" t="str">
        <f t="shared" si="32"/>
        <v>CRÍTICO</v>
      </c>
    </row>
    <row r="243" spans="1:23" x14ac:dyDescent="0.25">
      <c r="A243" s="2">
        <f>CONTROLE_DIARIO!A244</f>
        <v>0</v>
      </c>
      <c r="B243" s="51">
        <f>CONTROLE_DIARIO!B244</f>
        <v>0</v>
      </c>
      <c r="C243" s="3">
        <f>CONTROLE_DIARIO!C244</f>
        <v>0</v>
      </c>
      <c r="D243" s="3">
        <f>CONTROLE_DIARIO!D244</f>
        <v>0</v>
      </c>
      <c r="E243" s="3">
        <f>CONTROLE_DIARIO!E244</f>
        <v>0</v>
      </c>
      <c r="F243" s="3">
        <f>CONTROLE_DIARIO!F244</f>
        <v>0</v>
      </c>
      <c r="G243" s="3">
        <f>CONTROLE_DIARIO!G244</f>
        <v>0</v>
      </c>
      <c r="H243" s="3">
        <f>CONTROLE_DIARIO!H244</f>
        <v>0</v>
      </c>
      <c r="I243" s="3">
        <f>CONTROLE_DIARIO!I244</f>
        <v>0</v>
      </c>
      <c r="J243" s="3" t="str">
        <f>CONTROLE_DIARIO!J244</f>
        <v/>
      </c>
      <c r="K243" s="3" t="str">
        <f>CONTROLE_DIARIO!K244</f>
        <v/>
      </c>
      <c r="L243" s="51">
        <f>CONTROLE_DIARIO!L244</f>
        <v>0</v>
      </c>
      <c r="M243" s="51">
        <f>CONTROLE_DIARIO!M244</f>
        <v>0</v>
      </c>
      <c r="N243" s="3">
        <f>CONTROLE_DIARIO!N244</f>
        <v>0</v>
      </c>
      <c r="O243" s="3" t="str">
        <f>CONTROLE_DIARIO!O244</f>
        <v/>
      </c>
      <c r="P243" s="51" t="str">
        <f>CONTROLE_DIARIO!P244</f>
        <v/>
      </c>
      <c r="Q243" s="6">
        <f t="shared" si="26"/>
        <v>0</v>
      </c>
      <c r="R243" s="54" t="str">
        <f t="shared" si="27"/>
        <v>OK</v>
      </c>
      <c r="S243" s="3" t="str">
        <f t="shared" si="28"/>
        <v>jan/yy</v>
      </c>
      <c r="T243" s="3">
        <f t="shared" si="29"/>
        <v>1</v>
      </c>
      <c r="U243" s="3">
        <f t="shared" si="30"/>
        <v>1900</v>
      </c>
      <c r="V243" s="6">
        <f t="shared" si="31"/>
        <v>0</v>
      </c>
      <c r="W243" s="3" t="str">
        <f t="shared" si="32"/>
        <v>CRÍTICO</v>
      </c>
    </row>
    <row r="244" spans="1:23" x14ac:dyDescent="0.25">
      <c r="A244" s="2">
        <f>CONTROLE_DIARIO!A245</f>
        <v>0</v>
      </c>
      <c r="B244" s="51">
        <f>CONTROLE_DIARIO!B245</f>
        <v>0</v>
      </c>
      <c r="C244" s="3">
        <f>CONTROLE_DIARIO!C245</f>
        <v>0</v>
      </c>
      <c r="D244" s="3">
        <f>CONTROLE_DIARIO!D245</f>
        <v>0</v>
      </c>
      <c r="E244" s="3">
        <f>CONTROLE_DIARIO!E245</f>
        <v>0</v>
      </c>
      <c r="F244" s="3">
        <f>CONTROLE_DIARIO!F245</f>
        <v>0</v>
      </c>
      <c r="G244" s="3">
        <f>CONTROLE_DIARIO!G245</f>
        <v>0</v>
      </c>
      <c r="H244" s="3">
        <f>CONTROLE_DIARIO!H245</f>
        <v>0</v>
      </c>
      <c r="I244" s="3">
        <f>CONTROLE_DIARIO!I245</f>
        <v>0</v>
      </c>
      <c r="J244" s="3" t="str">
        <f>CONTROLE_DIARIO!J245</f>
        <v/>
      </c>
      <c r="K244" s="3" t="str">
        <f>CONTROLE_DIARIO!K245</f>
        <v/>
      </c>
      <c r="L244" s="51">
        <f>CONTROLE_DIARIO!L245</f>
        <v>0</v>
      </c>
      <c r="M244" s="51">
        <f>CONTROLE_DIARIO!M245</f>
        <v>0</v>
      </c>
      <c r="N244" s="3">
        <f>CONTROLE_DIARIO!N245</f>
        <v>0</v>
      </c>
      <c r="O244" s="3" t="str">
        <f>CONTROLE_DIARIO!O245</f>
        <v/>
      </c>
      <c r="P244" s="51" t="str">
        <f>CONTROLE_DIARIO!P245</f>
        <v/>
      </c>
      <c r="Q244" s="6">
        <f t="shared" si="26"/>
        <v>0</v>
      </c>
      <c r="R244" s="54" t="str">
        <f t="shared" si="27"/>
        <v>OK</v>
      </c>
      <c r="S244" s="3" t="str">
        <f t="shared" si="28"/>
        <v>jan/yy</v>
      </c>
      <c r="T244" s="3">
        <f t="shared" si="29"/>
        <v>1</v>
      </c>
      <c r="U244" s="3">
        <f t="shared" si="30"/>
        <v>1900</v>
      </c>
      <c r="V244" s="6">
        <f t="shared" si="31"/>
        <v>0</v>
      </c>
      <c r="W244" s="3" t="str">
        <f t="shared" si="32"/>
        <v>CRÍTICO</v>
      </c>
    </row>
    <row r="245" spans="1:23" x14ac:dyDescent="0.25">
      <c r="A245" s="2">
        <f>CONTROLE_DIARIO!A246</f>
        <v>0</v>
      </c>
      <c r="B245" s="51">
        <f>CONTROLE_DIARIO!B246</f>
        <v>0</v>
      </c>
      <c r="C245" s="3">
        <f>CONTROLE_DIARIO!C246</f>
        <v>0</v>
      </c>
      <c r="D245" s="3">
        <f>CONTROLE_DIARIO!D246</f>
        <v>0</v>
      </c>
      <c r="E245" s="3">
        <f>CONTROLE_DIARIO!E246</f>
        <v>0</v>
      </c>
      <c r="F245" s="3">
        <f>CONTROLE_DIARIO!F246</f>
        <v>0</v>
      </c>
      <c r="G245" s="3">
        <f>CONTROLE_DIARIO!G246</f>
        <v>0</v>
      </c>
      <c r="H245" s="3">
        <f>CONTROLE_DIARIO!H246</f>
        <v>0</v>
      </c>
      <c r="I245" s="3">
        <f>CONTROLE_DIARIO!I246</f>
        <v>0</v>
      </c>
      <c r="J245" s="3" t="str">
        <f>CONTROLE_DIARIO!J246</f>
        <v/>
      </c>
      <c r="K245" s="3" t="str">
        <f>CONTROLE_DIARIO!K246</f>
        <v/>
      </c>
      <c r="L245" s="51">
        <f>CONTROLE_DIARIO!L246</f>
        <v>0</v>
      </c>
      <c r="M245" s="51">
        <f>CONTROLE_DIARIO!M246</f>
        <v>0</v>
      </c>
      <c r="N245" s="3">
        <f>CONTROLE_DIARIO!N246</f>
        <v>0</v>
      </c>
      <c r="O245" s="3" t="str">
        <f>CONTROLE_DIARIO!O246</f>
        <v/>
      </c>
      <c r="P245" s="51" t="str">
        <f>CONTROLE_DIARIO!P246</f>
        <v/>
      </c>
      <c r="Q245" s="6">
        <f t="shared" si="26"/>
        <v>0</v>
      </c>
      <c r="R245" s="54" t="str">
        <f t="shared" si="27"/>
        <v>OK</v>
      </c>
      <c r="S245" s="3" t="str">
        <f t="shared" si="28"/>
        <v>jan/yy</v>
      </c>
      <c r="T245" s="3">
        <f t="shared" si="29"/>
        <v>1</v>
      </c>
      <c r="U245" s="3">
        <f t="shared" si="30"/>
        <v>1900</v>
      </c>
      <c r="V245" s="6">
        <f t="shared" si="31"/>
        <v>0</v>
      </c>
      <c r="W245" s="3" t="str">
        <f t="shared" si="32"/>
        <v>CRÍTICO</v>
      </c>
    </row>
    <row r="246" spans="1:23" x14ac:dyDescent="0.25">
      <c r="A246" s="2">
        <f>CONTROLE_DIARIO!A247</f>
        <v>0</v>
      </c>
      <c r="B246" s="51">
        <f>CONTROLE_DIARIO!B247</f>
        <v>0</v>
      </c>
      <c r="C246" s="3">
        <f>CONTROLE_DIARIO!C247</f>
        <v>0</v>
      </c>
      <c r="D246" s="3">
        <f>CONTROLE_DIARIO!D247</f>
        <v>0</v>
      </c>
      <c r="E246" s="3">
        <f>CONTROLE_DIARIO!E247</f>
        <v>0</v>
      </c>
      <c r="F246" s="3">
        <f>CONTROLE_DIARIO!F247</f>
        <v>0</v>
      </c>
      <c r="G246" s="3">
        <f>CONTROLE_DIARIO!G247</f>
        <v>0</v>
      </c>
      <c r="H246" s="3">
        <f>CONTROLE_DIARIO!H247</f>
        <v>0</v>
      </c>
      <c r="I246" s="3">
        <f>CONTROLE_DIARIO!I247</f>
        <v>0</v>
      </c>
      <c r="J246" s="3" t="str">
        <f>CONTROLE_DIARIO!J247</f>
        <v/>
      </c>
      <c r="K246" s="3" t="str">
        <f>CONTROLE_DIARIO!K247</f>
        <v/>
      </c>
      <c r="L246" s="51">
        <f>CONTROLE_DIARIO!L247</f>
        <v>0</v>
      </c>
      <c r="M246" s="51">
        <f>CONTROLE_DIARIO!M247</f>
        <v>0</v>
      </c>
      <c r="N246" s="3">
        <f>CONTROLE_DIARIO!N247</f>
        <v>0</v>
      </c>
      <c r="O246" s="3" t="str">
        <f>CONTROLE_DIARIO!O247</f>
        <v/>
      </c>
      <c r="P246" s="51" t="str">
        <f>CONTROLE_DIARIO!P247</f>
        <v/>
      </c>
      <c r="Q246" s="6">
        <f t="shared" si="26"/>
        <v>0</v>
      </c>
      <c r="R246" s="54" t="str">
        <f t="shared" si="27"/>
        <v>OK</v>
      </c>
      <c r="S246" s="3" t="str">
        <f t="shared" si="28"/>
        <v>jan/yy</v>
      </c>
      <c r="T246" s="3">
        <f t="shared" si="29"/>
        <v>1</v>
      </c>
      <c r="U246" s="3">
        <f t="shared" si="30"/>
        <v>1900</v>
      </c>
      <c r="V246" s="6">
        <f t="shared" si="31"/>
        <v>0</v>
      </c>
      <c r="W246" s="3" t="str">
        <f t="shared" si="32"/>
        <v>CRÍTICO</v>
      </c>
    </row>
    <row r="247" spans="1:23" x14ac:dyDescent="0.25">
      <c r="A247" s="2">
        <f>CONTROLE_DIARIO!A248</f>
        <v>0</v>
      </c>
      <c r="B247" s="51">
        <f>CONTROLE_DIARIO!B248</f>
        <v>0</v>
      </c>
      <c r="C247" s="3">
        <f>CONTROLE_DIARIO!C248</f>
        <v>0</v>
      </c>
      <c r="D247" s="3">
        <f>CONTROLE_DIARIO!D248</f>
        <v>0</v>
      </c>
      <c r="E247" s="3">
        <f>CONTROLE_DIARIO!E248</f>
        <v>0</v>
      </c>
      <c r="F247" s="3">
        <f>CONTROLE_DIARIO!F248</f>
        <v>0</v>
      </c>
      <c r="G247" s="3">
        <f>CONTROLE_DIARIO!G248</f>
        <v>0</v>
      </c>
      <c r="H247" s="3">
        <f>CONTROLE_DIARIO!H248</f>
        <v>0</v>
      </c>
      <c r="I247" s="3">
        <f>CONTROLE_DIARIO!I248</f>
        <v>0</v>
      </c>
      <c r="J247" s="3" t="str">
        <f>CONTROLE_DIARIO!J248</f>
        <v/>
      </c>
      <c r="K247" s="3" t="str">
        <f>CONTROLE_DIARIO!K248</f>
        <v/>
      </c>
      <c r="L247" s="51">
        <f>CONTROLE_DIARIO!L248</f>
        <v>0</v>
      </c>
      <c r="M247" s="51">
        <f>CONTROLE_DIARIO!M248</f>
        <v>0</v>
      </c>
      <c r="N247" s="3">
        <f>CONTROLE_DIARIO!N248</f>
        <v>0</v>
      </c>
      <c r="O247" s="3" t="str">
        <f>CONTROLE_DIARIO!O248</f>
        <v/>
      </c>
      <c r="P247" s="51" t="str">
        <f>CONTROLE_DIARIO!P248</f>
        <v/>
      </c>
      <c r="Q247" s="6">
        <f t="shared" si="26"/>
        <v>0</v>
      </c>
      <c r="R247" s="54" t="str">
        <f t="shared" si="27"/>
        <v>OK</v>
      </c>
      <c r="S247" s="3" t="str">
        <f t="shared" si="28"/>
        <v>jan/yy</v>
      </c>
      <c r="T247" s="3">
        <f t="shared" si="29"/>
        <v>1</v>
      </c>
      <c r="U247" s="3">
        <f t="shared" si="30"/>
        <v>1900</v>
      </c>
      <c r="V247" s="6">
        <f t="shared" si="31"/>
        <v>0</v>
      </c>
      <c r="W247" s="3" t="str">
        <f t="shared" si="32"/>
        <v>CRÍTICO</v>
      </c>
    </row>
    <row r="248" spans="1:23" x14ac:dyDescent="0.25">
      <c r="A248" s="2">
        <f>CONTROLE_DIARIO!A249</f>
        <v>0</v>
      </c>
      <c r="B248" s="51">
        <f>CONTROLE_DIARIO!B249</f>
        <v>0</v>
      </c>
      <c r="C248" s="3">
        <f>CONTROLE_DIARIO!C249</f>
        <v>0</v>
      </c>
      <c r="D248" s="3">
        <f>CONTROLE_DIARIO!D249</f>
        <v>0</v>
      </c>
      <c r="E248" s="3">
        <f>CONTROLE_DIARIO!E249</f>
        <v>0</v>
      </c>
      <c r="F248" s="3">
        <f>CONTROLE_DIARIO!F249</f>
        <v>0</v>
      </c>
      <c r="G248" s="3">
        <f>CONTROLE_DIARIO!G249</f>
        <v>0</v>
      </c>
      <c r="H248" s="3">
        <f>CONTROLE_DIARIO!H249</f>
        <v>0</v>
      </c>
      <c r="I248" s="3">
        <f>CONTROLE_DIARIO!I249</f>
        <v>0</v>
      </c>
      <c r="J248" s="3" t="str">
        <f>CONTROLE_DIARIO!J249</f>
        <v/>
      </c>
      <c r="K248" s="3" t="str">
        <f>CONTROLE_DIARIO!K249</f>
        <v/>
      </c>
      <c r="L248" s="51">
        <f>CONTROLE_DIARIO!L249</f>
        <v>0</v>
      </c>
      <c r="M248" s="51">
        <f>CONTROLE_DIARIO!M249</f>
        <v>0</v>
      </c>
      <c r="N248" s="3">
        <f>CONTROLE_DIARIO!N249</f>
        <v>0</v>
      </c>
      <c r="O248" s="3" t="str">
        <f>CONTROLE_DIARIO!O249</f>
        <v/>
      </c>
      <c r="P248" s="51" t="str">
        <f>CONTROLE_DIARIO!P249</f>
        <v/>
      </c>
      <c r="Q248" s="6">
        <f t="shared" si="26"/>
        <v>0</v>
      </c>
      <c r="R248" s="54" t="str">
        <f t="shared" si="27"/>
        <v>OK</v>
      </c>
      <c r="S248" s="3" t="str">
        <f t="shared" si="28"/>
        <v>jan/yy</v>
      </c>
      <c r="T248" s="3">
        <f t="shared" si="29"/>
        <v>1</v>
      </c>
      <c r="U248" s="3">
        <f t="shared" si="30"/>
        <v>1900</v>
      </c>
      <c r="V248" s="6">
        <f t="shared" si="31"/>
        <v>0</v>
      </c>
      <c r="W248" s="3" t="str">
        <f t="shared" si="32"/>
        <v>CRÍTICO</v>
      </c>
    </row>
    <row r="249" spans="1:23" x14ac:dyDescent="0.25">
      <c r="A249" s="2">
        <f>CONTROLE_DIARIO!A250</f>
        <v>0</v>
      </c>
      <c r="B249" s="51">
        <f>CONTROLE_DIARIO!B250</f>
        <v>0</v>
      </c>
      <c r="C249" s="3">
        <f>CONTROLE_DIARIO!C250</f>
        <v>0</v>
      </c>
      <c r="D249" s="3">
        <f>CONTROLE_DIARIO!D250</f>
        <v>0</v>
      </c>
      <c r="E249" s="3">
        <f>CONTROLE_DIARIO!E250</f>
        <v>0</v>
      </c>
      <c r="F249" s="3">
        <f>CONTROLE_DIARIO!F250</f>
        <v>0</v>
      </c>
      <c r="G249" s="3">
        <f>CONTROLE_DIARIO!G250</f>
        <v>0</v>
      </c>
      <c r="H249" s="3">
        <f>CONTROLE_DIARIO!H250</f>
        <v>0</v>
      </c>
      <c r="I249" s="3">
        <f>CONTROLE_DIARIO!I250</f>
        <v>0</v>
      </c>
      <c r="J249" s="3" t="str">
        <f>CONTROLE_DIARIO!J250</f>
        <v/>
      </c>
      <c r="K249" s="3" t="str">
        <f>CONTROLE_DIARIO!K250</f>
        <v/>
      </c>
      <c r="L249" s="51">
        <f>CONTROLE_DIARIO!L250</f>
        <v>0</v>
      </c>
      <c r="M249" s="51">
        <f>CONTROLE_DIARIO!M250</f>
        <v>0</v>
      </c>
      <c r="N249" s="3">
        <f>CONTROLE_DIARIO!N250</f>
        <v>0</v>
      </c>
      <c r="O249" s="3" t="str">
        <f>CONTROLE_DIARIO!O250</f>
        <v/>
      </c>
      <c r="P249" s="51" t="str">
        <f>CONTROLE_DIARIO!P250</f>
        <v/>
      </c>
      <c r="Q249" s="6">
        <f t="shared" si="26"/>
        <v>0</v>
      </c>
      <c r="R249" s="54" t="str">
        <f t="shared" si="27"/>
        <v>OK</v>
      </c>
      <c r="S249" s="3" t="str">
        <f t="shared" si="28"/>
        <v>jan/yy</v>
      </c>
      <c r="T249" s="3">
        <f t="shared" si="29"/>
        <v>1</v>
      </c>
      <c r="U249" s="3">
        <f t="shared" si="30"/>
        <v>1900</v>
      </c>
      <c r="V249" s="6">
        <f t="shared" si="31"/>
        <v>0</v>
      </c>
      <c r="W249" s="3" t="str">
        <f t="shared" si="32"/>
        <v>CRÍTICO</v>
      </c>
    </row>
    <row r="250" spans="1:23" x14ac:dyDescent="0.25">
      <c r="A250" s="2">
        <f>CONTROLE_DIARIO!A251</f>
        <v>0</v>
      </c>
      <c r="B250" s="51">
        <f>CONTROLE_DIARIO!B251</f>
        <v>0</v>
      </c>
      <c r="C250" s="3">
        <f>CONTROLE_DIARIO!C251</f>
        <v>0</v>
      </c>
      <c r="D250" s="3">
        <f>CONTROLE_DIARIO!D251</f>
        <v>0</v>
      </c>
      <c r="E250" s="3">
        <f>CONTROLE_DIARIO!E251</f>
        <v>0</v>
      </c>
      <c r="F250" s="3">
        <f>CONTROLE_DIARIO!F251</f>
        <v>0</v>
      </c>
      <c r="G250" s="3">
        <f>CONTROLE_DIARIO!G251</f>
        <v>0</v>
      </c>
      <c r="H250" s="3">
        <f>CONTROLE_DIARIO!H251</f>
        <v>0</v>
      </c>
      <c r="I250" s="3">
        <f>CONTROLE_DIARIO!I251</f>
        <v>0</v>
      </c>
      <c r="J250" s="3" t="str">
        <f>CONTROLE_DIARIO!J251</f>
        <v/>
      </c>
      <c r="K250" s="3" t="str">
        <f>CONTROLE_DIARIO!K251</f>
        <v/>
      </c>
      <c r="L250" s="51">
        <f>CONTROLE_DIARIO!L251</f>
        <v>0</v>
      </c>
      <c r="M250" s="51">
        <f>CONTROLE_DIARIO!M251</f>
        <v>0</v>
      </c>
      <c r="N250" s="3">
        <f>CONTROLE_DIARIO!N251</f>
        <v>0</v>
      </c>
      <c r="O250" s="3" t="str">
        <f>CONTROLE_DIARIO!O251</f>
        <v/>
      </c>
      <c r="P250" s="51" t="str">
        <f>CONTROLE_DIARIO!P251</f>
        <v/>
      </c>
      <c r="Q250" s="6">
        <f t="shared" si="26"/>
        <v>0</v>
      </c>
      <c r="R250" s="54" t="str">
        <f t="shared" si="27"/>
        <v>OK</v>
      </c>
      <c r="S250" s="3" t="str">
        <f t="shared" si="28"/>
        <v>jan/yy</v>
      </c>
      <c r="T250" s="3">
        <f t="shared" si="29"/>
        <v>1</v>
      </c>
      <c r="U250" s="3">
        <f t="shared" si="30"/>
        <v>1900</v>
      </c>
      <c r="V250" s="6">
        <f t="shared" si="31"/>
        <v>0</v>
      </c>
      <c r="W250" s="3" t="str">
        <f t="shared" si="32"/>
        <v>CRÍTICO</v>
      </c>
    </row>
    <row r="251" spans="1:23" x14ac:dyDescent="0.25">
      <c r="A251" s="2">
        <f>CONTROLE_DIARIO!A252</f>
        <v>0</v>
      </c>
      <c r="B251" s="51">
        <f>CONTROLE_DIARIO!B252</f>
        <v>0</v>
      </c>
      <c r="C251" s="3">
        <f>CONTROLE_DIARIO!C252</f>
        <v>0</v>
      </c>
      <c r="D251" s="3">
        <f>CONTROLE_DIARIO!D252</f>
        <v>0</v>
      </c>
      <c r="E251" s="3">
        <f>CONTROLE_DIARIO!E252</f>
        <v>0</v>
      </c>
      <c r="F251" s="3">
        <f>CONTROLE_DIARIO!F252</f>
        <v>0</v>
      </c>
      <c r="G251" s="3">
        <f>CONTROLE_DIARIO!G252</f>
        <v>0</v>
      </c>
      <c r="H251" s="3">
        <f>CONTROLE_DIARIO!H252</f>
        <v>0</v>
      </c>
      <c r="I251" s="3">
        <f>CONTROLE_DIARIO!I252</f>
        <v>0</v>
      </c>
      <c r="J251" s="3" t="str">
        <f>CONTROLE_DIARIO!J252</f>
        <v/>
      </c>
      <c r="K251" s="3" t="str">
        <f>CONTROLE_DIARIO!K252</f>
        <v/>
      </c>
      <c r="L251" s="51">
        <f>CONTROLE_DIARIO!L252</f>
        <v>0</v>
      </c>
      <c r="M251" s="51">
        <f>CONTROLE_DIARIO!M252</f>
        <v>0</v>
      </c>
      <c r="N251" s="3">
        <f>CONTROLE_DIARIO!N252</f>
        <v>0</v>
      </c>
      <c r="O251" s="3" t="str">
        <f>CONTROLE_DIARIO!O252</f>
        <v/>
      </c>
      <c r="P251" s="51" t="str">
        <f>CONTROLE_DIARIO!P252</f>
        <v/>
      </c>
      <c r="Q251" s="6">
        <f t="shared" si="26"/>
        <v>0</v>
      </c>
      <c r="R251" s="54" t="str">
        <f t="shared" si="27"/>
        <v>OK</v>
      </c>
      <c r="S251" s="3" t="str">
        <f t="shared" si="28"/>
        <v>jan/yy</v>
      </c>
      <c r="T251" s="3">
        <f t="shared" si="29"/>
        <v>1</v>
      </c>
      <c r="U251" s="3">
        <f t="shared" si="30"/>
        <v>1900</v>
      </c>
      <c r="V251" s="6">
        <f t="shared" si="31"/>
        <v>0</v>
      </c>
      <c r="W251" s="3" t="str">
        <f t="shared" si="32"/>
        <v>CRÍTICO</v>
      </c>
    </row>
    <row r="252" spans="1:23" x14ac:dyDescent="0.25">
      <c r="A252" s="2">
        <f>CONTROLE_DIARIO!A253</f>
        <v>0</v>
      </c>
      <c r="B252" s="51">
        <f>CONTROLE_DIARIO!B253</f>
        <v>0</v>
      </c>
      <c r="C252" s="3">
        <f>CONTROLE_DIARIO!C253</f>
        <v>0</v>
      </c>
      <c r="D252" s="3">
        <f>CONTROLE_DIARIO!D253</f>
        <v>0</v>
      </c>
      <c r="E252" s="3">
        <f>CONTROLE_DIARIO!E253</f>
        <v>0</v>
      </c>
      <c r="F252" s="3">
        <f>CONTROLE_DIARIO!F253</f>
        <v>0</v>
      </c>
      <c r="G252" s="3">
        <f>CONTROLE_DIARIO!G253</f>
        <v>0</v>
      </c>
      <c r="H252" s="3">
        <f>CONTROLE_DIARIO!H253</f>
        <v>0</v>
      </c>
      <c r="I252" s="3">
        <f>CONTROLE_DIARIO!I253</f>
        <v>0</v>
      </c>
      <c r="J252" s="3" t="str">
        <f>CONTROLE_DIARIO!J253</f>
        <v/>
      </c>
      <c r="K252" s="3" t="str">
        <f>CONTROLE_DIARIO!K253</f>
        <v/>
      </c>
      <c r="L252" s="51">
        <f>CONTROLE_DIARIO!L253</f>
        <v>0</v>
      </c>
      <c r="M252" s="51">
        <f>CONTROLE_DIARIO!M253</f>
        <v>0</v>
      </c>
      <c r="N252" s="3">
        <f>CONTROLE_DIARIO!N253</f>
        <v>0</v>
      </c>
      <c r="O252" s="3" t="str">
        <f>CONTROLE_DIARIO!O253</f>
        <v/>
      </c>
      <c r="P252" s="51" t="str">
        <f>CONTROLE_DIARIO!P253</f>
        <v/>
      </c>
      <c r="Q252" s="6">
        <f t="shared" si="26"/>
        <v>0</v>
      </c>
      <c r="R252" s="54" t="str">
        <f t="shared" si="27"/>
        <v>OK</v>
      </c>
      <c r="S252" s="3" t="str">
        <f t="shared" si="28"/>
        <v>jan/yy</v>
      </c>
      <c r="T252" s="3">
        <f t="shared" si="29"/>
        <v>1</v>
      </c>
      <c r="U252" s="3">
        <f t="shared" si="30"/>
        <v>1900</v>
      </c>
      <c r="V252" s="6">
        <f t="shared" si="31"/>
        <v>0</v>
      </c>
      <c r="W252" s="3" t="str">
        <f t="shared" si="32"/>
        <v>CRÍTICO</v>
      </c>
    </row>
    <row r="253" spans="1:23" x14ac:dyDescent="0.25">
      <c r="A253" s="2">
        <f>CONTROLE_DIARIO!A254</f>
        <v>0</v>
      </c>
      <c r="B253" s="51">
        <f>CONTROLE_DIARIO!B254</f>
        <v>0</v>
      </c>
      <c r="C253" s="3">
        <f>CONTROLE_DIARIO!C254</f>
        <v>0</v>
      </c>
      <c r="D253" s="3">
        <f>CONTROLE_DIARIO!D254</f>
        <v>0</v>
      </c>
      <c r="E253" s="3">
        <f>CONTROLE_DIARIO!E254</f>
        <v>0</v>
      </c>
      <c r="F253" s="3">
        <f>CONTROLE_DIARIO!F254</f>
        <v>0</v>
      </c>
      <c r="G253" s="3">
        <f>CONTROLE_DIARIO!G254</f>
        <v>0</v>
      </c>
      <c r="H253" s="3">
        <f>CONTROLE_DIARIO!H254</f>
        <v>0</v>
      </c>
      <c r="I253" s="3">
        <f>CONTROLE_DIARIO!I254</f>
        <v>0</v>
      </c>
      <c r="J253" s="3" t="str">
        <f>CONTROLE_DIARIO!J254</f>
        <v/>
      </c>
      <c r="K253" s="3" t="str">
        <f>CONTROLE_DIARIO!K254</f>
        <v/>
      </c>
      <c r="L253" s="51">
        <f>CONTROLE_DIARIO!L254</f>
        <v>0</v>
      </c>
      <c r="M253" s="51">
        <f>CONTROLE_DIARIO!M254</f>
        <v>0</v>
      </c>
      <c r="N253" s="3">
        <f>CONTROLE_DIARIO!N254</f>
        <v>0</v>
      </c>
      <c r="O253" s="3" t="str">
        <f>CONTROLE_DIARIO!O254</f>
        <v/>
      </c>
      <c r="P253" s="51" t="str">
        <f>CONTROLE_DIARIO!P254</f>
        <v/>
      </c>
      <c r="Q253" s="6">
        <f t="shared" si="26"/>
        <v>0</v>
      </c>
      <c r="R253" s="54" t="str">
        <f t="shared" si="27"/>
        <v>OK</v>
      </c>
      <c r="S253" s="3" t="str">
        <f t="shared" si="28"/>
        <v>jan/yy</v>
      </c>
      <c r="T253" s="3">
        <f t="shared" si="29"/>
        <v>1</v>
      </c>
      <c r="U253" s="3">
        <f t="shared" si="30"/>
        <v>1900</v>
      </c>
      <c r="V253" s="6">
        <f t="shared" si="31"/>
        <v>0</v>
      </c>
      <c r="W253" s="3" t="str">
        <f t="shared" si="32"/>
        <v>CRÍTICO</v>
      </c>
    </row>
    <row r="254" spans="1:23" x14ac:dyDescent="0.25">
      <c r="A254" s="2">
        <f>CONTROLE_DIARIO!A255</f>
        <v>0</v>
      </c>
      <c r="B254" s="51">
        <f>CONTROLE_DIARIO!B255</f>
        <v>0</v>
      </c>
      <c r="C254" s="3">
        <f>CONTROLE_DIARIO!C255</f>
        <v>0</v>
      </c>
      <c r="D254" s="3">
        <f>CONTROLE_DIARIO!D255</f>
        <v>0</v>
      </c>
      <c r="E254" s="3">
        <f>CONTROLE_DIARIO!E255</f>
        <v>0</v>
      </c>
      <c r="F254" s="3">
        <f>CONTROLE_DIARIO!F255</f>
        <v>0</v>
      </c>
      <c r="G254" s="3">
        <f>CONTROLE_DIARIO!G255</f>
        <v>0</v>
      </c>
      <c r="H254" s="3">
        <f>CONTROLE_DIARIO!H255</f>
        <v>0</v>
      </c>
      <c r="I254" s="3">
        <f>CONTROLE_DIARIO!I255</f>
        <v>0</v>
      </c>
      <c r="J254" s="3" t="str">
        <f>CONTROLE_DIARIO!J255</f>
        <v/>
      </c>
      <c r="K254" s="3" t="str">
        <f>CONTROLE_DIARIO!K255</f>
        <v/>
      </c>
      <c r="L254" s="51">
        <f>CONTROLE_DIARIO!L255</f>
        <v>0</v>
      </c>
      <c r="M254" s="51">
        <f>CONTROLE_DIARIO!M255</f>
        <v>0</v>
      </c>
      <c r="N254" s="3">
        <f>CONTROLE_DIARIO!N255</f>
        <v>0</v>
      </c>
      <c r="O254" s="3" t="str">
        <f>CONTROLE_DIARIO!O255</f>
        <v/>
      </c>
      <c r="P254" s="51" t="str">
        <f>CONTROLE_DIARIO!P255</f>
        <v/>
      </c>
      <c r="Q254" s="6">
        <f t="shared" si="26"/>
        <v>0</v>
      </c>
      <c r="R254" s="54" t="str">
        <f t="shared" si="27"/>
        <v>OK</v>
      </c>
      <c r="S254" s="3" t="str">
        <f t="shared" si="28"/>
        <v>jan/yy</v>
      </c>
      <c r="T254" s="3">
        <f t="shared" si="29"/>
        <v>1</v>
      </c>
      <c r="U254" s="3">
        <f t="shared" si="30"/>
        <v>1900</v>
      </c>
      <c r="V254" s="6">
        <f t="shared" si="31"/>
        <v>0</v>
      </c>
      <c r="W254" s="3" t="str">
        <f t="shared" si="32"/>
        <v>CRÍTICO</v>
      </c>
    </row>
    <row r="255" spans="1:23" x14ac:dyDescent="0.25">
      <c r="A255" s="2">
        <f>CONTROLE_DIARIO!A256</f>
        <v>0</v>
      </c>
      <c r="B255" s="51">
        <f>CONTROLE_DIARIO!B256</f>
        <v>0</v>
      </c>
      <c r="C255" s="3">
        <f>CONTROLE_DIARIO!C256</f>
        <v>0</v>
      </c>
      <c r="D255" s="3">
        <f>CONTROLE_DIARIO!D256</f>
        <v>0</v>
      </c>
      <c r="E255" s="3">
        <f>CONTROLE_DIARIO!E256</f>
        <v>0</v>
      </c>
      <c r="F255" s="3">
        <f>CONTROLE_DIARIO!F256</f>
        <v>0</v>
      </c>
      <c r="G255" s="3">
        <f>CONTROLE_DIARIO!G256</f>
        <v>0</v>
      </c>
      <c r="H255" s="3">
        <f>CONTROLE_DIARIO!H256</f>
        <v>0</v>
      </c>
      <c r="I255" s="3">
        <f>CONTROLE_DIARIO!I256</f>
        <v>0</v>
      </c>
      <c r="J255" s="3" t="str">
        <f>CONTROLE_DIARIO!J256</f>
        <v/>
      </c>
      <c r="K255" s="3" t="str">
        <f>CONTROLE_DIARIO!K256</f>
        <v/>
      </c>
      <c r="L255" s="51">
        <f>CONTROLE_DIARIO!L256</f>
        <v>0</v>
      </c>
      <c r="M255" s="51">
        <f>CONTROLE_DIARIO!M256</f>
        <v>0</v>
      </c>
      <c r="N255" s="3">
        <f>CONTROLE_DIARIO!N256</f>
        <v>0</v>
      </c>
      <c r="O255" s="3" t="str">
        <f>CONTROLE_DIARIO!O256</f>
        <v/>
      </c>
      <c r="P255" s="51" t="str">
        <f>CONTROLE_DIARIO!P256</f>
        <v/>
      </c>
      <c r="Q255" s="6">
        <f t="shared" si="26"/>
        <v>0</v>
      </c>
      <c r="R255" s="54" t="str">
        <f t="shared" si="27"/>
        <v>OK</v>
      </c>
      <c r="S255" s="3" t="str">
        <f t="shared" si="28"/>
        <v>jan/yy</v>
      </c>
      <c r="T255" s="3">
        <f t="shared" si="29"/>
        <v>1</v>
      </c>
      <c r="U255" s="3">
        <f t="shared" si="30"/>
        <v>1900</v>
      </c>
      <c r="V255" s="6">
        <f t="shared" si="31"/>
        <v>0</v>
      </c>
      <c r="W255" s="3" t="str">
        <f t="shared" si="32"/>
        <v>CRÍTICO</v>
      </c>
    </row>
    <row r="256" spans="1:23" x14ac:dyDescent="0.25">
      <c r="A256" s="2">
        <f>CONTROLE_DIARIO!A257</f>
        <v>0</v>
      </c>
      <c r="B256" s="51">
        <f>CONTROLE_DIARIO!B257</f>
        <v>0</v>
      </c>
      <c r="C256" s="3">
        <f>CONTROLE_DIARIO!C257</f>
        <v>0</v>
      </c>
      <c r="D256" s="3">
        <f>CONTROLE_DIARIO!D257</f>
        <v>0</v>
      </c>
      <c r="E256" s="3">
        <f>CONTROLE_DIARIO!E257</f>
        <v>0</v>
      </c>
      <c r="F256" s="3">
        <f>CONTROLE_DIARIO!F257</f>
        <v>0</v>
      </c>
      <c r="G256" s="3">
        <f>CONTROLE_DIARIO!G257</f>
        <v>0</v>
      </c>
      <c r="H256" s="3">
        <f>CONTROLE_DIARIO!H257</f>
        <v>0</v>
      </c>
      <c r="I256" s="3">
        <f>CONTROLE_DIARIO!I257</f>
        <v>0</v>
      </c>
      <c r="J256" s="3" t="str">
        <f>CONTROLE_DIARIO!J257</f>
        <v/>
      </c>
      <c r="K256" s="3" t="str">
        <f>CONTROLE_DIARIO!K257</f>
        <v/>
      </c>
      <c r="L256" s="51">
        <f>CONTROLE_DIARIO!L257</f>
        <v>0</v>
      </c>
      <c r="M256" s="51">
        <f>CONTROLE_DIARIO!M257</f>
        <v>0</v>
      </c>
      <c r="N256" s="3">
        <f>CONTROLE_DIARIO!N257</f>
        <v>0</v>
      </c>
      <c r="O256" s="3" t="str">
        <f>CONTROLE_DIARIO!O257</f>
        <v/>
      </c>
      <c r="P256" s="51" t="str">
        <f>CONTROLE_DIARIO!P257</f>
        <v/>
      </c>
      <c r="Q256" s="6">
        <f t="shared" si="26"/>
        <v>0</v>
      </c>
      <c r="R256" s="54" t="str">
        <f t="shared" si="27"/>
        <v>OK</v>
      </c>
      <c r="S256" s="3" t="str">
        <f t="shared" si="28"/>
        <v>jan/yy</v>
      </c>
      <c r="T256" s="3">
        <f t="shared" si="29"/>
        <v>1</v>
      </c>
      <c r="U256" s="3">
        <f t="shared" si="30"/>
        <v>1900</v>
      </c>
      <c r="V256" s="6">
        <f t="shared" si="31"/>
        <v>0</v>
      </c>
      <c r="W256" s="3" t="str">
        <f t="shared" si="32"/>
        <v>CRÍTICO</v>
      </c>
    </row>
    <row r="257" spans="1:23" x14ac:dyDescent="0.25">
      <c r="A257" s="2">
        <f>CONTROLE_DIARIO!A258</f>
        <v>0</v>
      </c>
      <c r="B257" s="51">
        <f>CONTROLE_DIARIO!B258</f>
        <v>0</v>
      </c>
      <c r="C257" s="3">
        <f>CONTROLE_DIARIO!C258</f>
        <v>0</v>
      </c>
      <c r="D257" s="3">
        <f>CONTROLE_DIARIO!D258</f>
        <v>0</v>
      </c>
      <c r="E257" s="3">
        <f>CONTROLE_DIARIO!E258</f>
        <v>0</v>
      </c>
      <c r="F257" s="3">
        <f>CONTROLE_DIARIO!F258</f>
        <v>0</v>
      </c>
      <c r="G257" s="3">
        <f>CONTROLE_DIARIO!G258</f>
        <v>0</v>
      </c>
      <c r="H257" s="3">
        <f>CONTROLE_DIARIO!H258</f>
        <v>0</v>
      </c>
      <c r="I257" s="3">
        <f>CONTROLE_DIARIO!I258</f>
        <v>0</v>
      </c>
      <c r="J257" s="3" t="str">
        <f>CONTROLE_DIARIO!J258</f>
        <v/>
      </c>
      <c r="K257" s="3" t="str">
        <f>CONTROLE_DIARIO!K258</f>
        <v/>
      </c>
      <c r="L257" s="51">
        <f>CONTROLE_DIARIO!L258</f>
        <v>0</v>
      </c>
      <c r="M257" s="51">
        <f>CONTROLE_DIARIO!M258</f>
        <v>0</v>
      </c>
      <c r="N257" s="3">
        <f>CONTROLE_DIARIO!N258</f>
        <v>0</v>
      </c>
      <c r="O257" s="3" t="str">
        <f>CONTROLE_DIARIO!O258</f>
        <v/>
      </c>
      <c r="P257" s="51" t="str">
        <f>CONTROLE_DIARIO!P258</f>
        <v/>
      </c>
      <c r="Q257" s="6">
        <f t="shared" si="26"/>
        <v>0</v>
      </c>
      <c r="R257" s="54" t="str">
        <f t="shared" si="27"/>
        <v>OK</v>
      </c>
      <c r="S257" s="3" t="str">
        <f t="shared" si="28"/>
        <v>jan/yy</v>
      </c>
      <c r="T257" s="3">
        <f t="shared" si="29"/>
        <v>1</v>
      </c>
      <c r="U257" s="3">
        <f t="shared" si="30"/>
        <v>1900</v>
      </c>
      <c r="V257" s="6">
        <f t="shared" si="31"/>
        <v>0</v>
      </c>
      <c r="W257" s="3" t="str">
        <f t="shared" si="32"/>
        <v>CRÍTICO</v>
      </c>
    </row>
    <row r="258" spans="1:23" x14ac:dyDescent="0.25">
      <c r="A258" s="2">
        <f>CONTROLE_DIARIO!A259</f>
        <v>0</v>
      </c>
      <c r="B258" s="51">
        <f>CONTROLE_DIARIO!B259</f>
        <v>0</v>
      </c>
      <c r="C258" s="3">
        <f>CONTROLE_DIARIO!C259</f>
        <v>0</v>
      </c>
      <c r="D258" s="3">
        <f>CONTROLE_DIARIO!D259</f>
        <v>0</v>
      </c>
      <c r="E258" s="3">
        <f>CONTROLE_DIARIO!E259</f>
        <v>0</v>
      </c>
      <c r="F258" s="3">
        <f>CONTROLE_DIARIO!F259</f>
        <v>0</v>
      </c>
      <c r="G258" s="3">
        <f>CONTROLE_DIARIO!G259</f>
        <v>0</v>
      </c>
      <c r="H258" s="3">
        <f>CONTROLE_DIARIO!H259</f>
        <v>0</v>
      </c>
      <c r="I258" s="3">
        <f>CONTROLE_DIARIO!I259</f>
        <v>0</v>
      </c>
      <c r="J258" s="3" t="str">
        <f>CONTROLE_DIARIO!J259</f>
        <v/>
      </c>
      <c r="K258" s="3" t="str">
        <f>CONTROLE_DIARIO!K259</f>
        <v/>
      </c>
      <c r="L258" s="51">
        <f>CONTROLE_DIARIO!L259</f>
        <v>0</v>
      </c>
      <c r="M258" s="51">
        <f>CONTROLE_DIARIO!M259</f>
        <v>0</v>
      </c>
      <c r="N258" s="3">
        <f>CONTROLE_DIARIO!N259</f>
        <v>0</v>
      </c>
      <c r="O258" s="3" t="str">
        <f>CONTROLE_DIARIO!O259</f>
        <v/>
      </c>
      <c r="P258" s="51" t="str">
        <f>CONTROLE_DIARIO!P259</f>
        <v/>
      </c>
      <c r="Q258" s="6">
        <f t="shared" si="26"/>
        <v>0</v>
      </c>
      <c r="R258" s="54" t="str">
        <f t="shared" si="27"/>
        <v>OK</v>
      </c>
      <c r="S258" s="3" t="str">
        <f t="shared" si="28"/>
        <v>jan/yy</v>
      </c>
      <c r="T258" s="3">
        <f t="shared" si="29"/>
        <v>1</v>
      </c>
      <c r="U258" s="3">
        <f t="shared" si="30"/>
        <v>1900</v>
      </c>
      <c r="V258" s="6">
        <f t="shared" si="31"/>
        <v>0</v>
      </c>
      <c r="W258" s="3" t="str">
        <f t="shared" si="32"/>
        <v>CRÍTICO</v>
      </c>
    </row>
    <row r="259" spans="1:23" x14ac:dyDescent="0.25">
      <c r="A259" s="2">
        <f>CONTROLE_DIARIO!A260</f>
        <v>0</v>
      </c>
      <c r="B259" s="51">
        <f>CONTROLE_DIARIO!B260</f>
        <v>0</v>
      </c>
      <c r="C259" s="3">
        <f>CONTROLE_DIARIO!C260</f>
        <v>0</v>
      </c>
      <c r="D259" s="3">
        <f>CONTROLE_DIARIO!D260</f>
        <v>0</v>
      </c>
      <c r="E259" s="3">
        <f>CONTROLE_DIARIO!E260</f>
        <v>0</v>
      </c>
      <c r="F259" s="3">
        <f>CONTROLE_DIARIO!F260</f>
        <v>0</v>
      </c>
      <c r="G259" s="3">
        <f>CONTROLE_DIARIO!G260</f>
        <v>0</v>
      </c>
      <c r="H259" s="3">
        <f>CONTROLE_DIARIO!H260</f>
        <v>0</v>
      </c>
      <c r="I259" s="3">
        <f>CONTROLE_DIARIO!I260</f>
        <v>0</v>
      </c>
      <c r="J259" s="3" t="str">
        <f>CONTROLE_DIARIO!J260</f>
        <v/>
      </c>
      <c r="K259" s="3" t="str">
        <f>CONTROLE_DIARIO!K260</f>
        <v/>
      </c>
      <c r="L259" s="51">
        <f>CONTROLE_DIARIO!L260</f>
        <v>0</v>
      </c>
      <c r="M259" s="51">
        <f>CONTROLE_DIARIO!M260</f>
        <v>0</v>
      </c>
      <c r="N259" s="3">
        <f>CONTROLE_DIARIO!N260</f>
        <v>0</v>
      </c>
      <c r="O259" s="3" t="str">
        <f>CONTROLE_DIARIO!O260</f>
        <v/>
      </c>
      <c r="P259" s="51" t="str">
        <f>CONTROLE_DIARIO!P260</f>
        <v/>
      </c>
      <c r="Q259" s="6">
        <f t="shared" si="26"/>
        <v>0</v>
      </c>
      <c r="R259" s="54" t="str">
        <f t="shared" si="27"/>
        <v>OK</v>
      </c>
      <c r="S259" s="3" t="str">
        <f t="shared" si="28"/>
        <v>jan/yy</v>
      </c>
      <c r="T259" s="3">
        <f t="shared" si="29"/>
        <v>1</v>
      </c>
      <c r="U259" s="3">
        <f t="shared" si="30"/>
        <v>1900</v>
      </c>
      <c r="V259" s="6">
        <f t="shared" si="31"/>
        <v>0</v>
      </c>
      <c r="W259" s="3" t="str">
        <f t="shared" si="32"/>
        <v>CRÍTICO</v>
      </c>
    </row>
    <row r="260" spans="1:23" x14ac:dyDescent="0.25">
      <c r="A260" s="2">
        <f>CONTROLE_DIARIO!A261</f>
        <v>0</v>
      </c>
      <c r="B260" s="51">
        <f>CONTROLE_DIARIO!B261</f>
        <v>0</v>
      </c>
      <c r="C260" s="3">
        <f>CONTROLE_DIARIO!C261</f>
        <v>0</v>
      </c>
      <c r="D260" s="3">
        <f>CONTROLE_DIARIO!D261</f>
        <v>0</v>
      </c>
      <c r="E260" s="3">
        <f>CONTROLE_DIARIO!E261</f>
        <v>0</v>
      </c>
      <c r="F260" s="3">
        <f>CONTROLE_DIARIO!F261</f>
        <v>0</v>
      </c>
      <c r="G260" s="3">
        <f>CONTROLE_DIARIO!G261</f>
        <v>0</v>
      </c>
      <c r="H260" s="3">
        <f>CONTROLE_DIARIO!H261</f>
        <v>0</v>
      </c>
      <c r="I260" s="3">
        <f>CONTROLE_DIARIO!I261</f>
        <v>0</v>
      </c>
      <c r="J260" s="3" t="str">
        <f>CONTROLE_DIARIO!J261</f>
        <v/>
      </c>
      <c r="K260" s="3" t="str">
        <f>CONTROLE_DIARIO!K261</f>
        <v/>
      </c>
      <c r="L260" s="51">
        <f>CONTROLE_DIARIO!L261</f>
        <v>0</v>
      </c>
      <c r="M260" s="51">
        <f>CONTROLE_DIARIO!M261</f>
        <v>0</v>
      </c>
      <c r="N260" s="3">
        <f>CONTROLE_DIARIO!N261</f>
        <v>0</v>
      </c>
      <c r="O260" s="3" t="str">
        <f>CONTROLE_DIARIO!O261</f>
        <v/>
      </c>
      <c r="P260" s="51" t="str">
        <f>CONTROLE_DIARIO!P261</f>
        <v/>
      </c>
      <c r="Q260" s="6">
        <f t="shared" si="26"/>
        <v>0</v>
      </c>
      <c r="R260" s="54" t="str">
        <f t="shared" si="27"/>
        <v>OK</v>
      </c>
      <c r="S260" s="3" t="str">
        <f t="shared" si="28"/>
        <v>jan/yy</v>
      </c>
      <c r="T260" s="3">
        <f t="shared" si="29"/>
        <v>1</v>
      </c>
      <c r="U260" s="3">
        <f t="shared" si="30"/>
        <v>1900</v>
      </c>
      <c r="V260" s="6">
        <f t="shared" si="31"/>
        <v>0</v>
      </c>
      <c r="W260" s="3" t="str">
        <f t="shared" si="32"/>
        <v>CRÍTICO</v>
      </c>
    </row>
    <row r="261" spans="1:23" x14ac:dyDescent="0.25">
      <c r="A261" s="2">
        <f>CONTROLE_DIARIO!A262</f>
        <v>0</v>
      </c>
      <c r="B261" s="51">
        <f>CONTROLE_DIARIO!B262</f>
        <v>0</v>
      </c>
      <c r="C261" s="3">
        <f>CONTROLE_DIARIO!C262</f>
        <v>0</v>
      </c>
      <c r="D261" s="3">
        <f>CONTROLE_DIARIO!D262</f>
        <v>0</v>
      </c>
      <c r="E261" s="3">
        <f>CONTROLE_DIARIO!E262</f>
        <v>0</v>
      </c>
      <c r="F261" s="3">
        <f>CONTROLE_DIARIO!F262</f>
        <v>0</v>
      </c>
      <c r="G261" s="3">
        <f>CONTROLE_DIARIO!G262</f>
        <v>0</v>
      </c>
      <c r="H261" s="3">
        <f>CONTROLE_DIARIO!H262</f>
        <v>0</v>
      </c>
      <c r="I261" s="3">
        <f>CONTROLE_DIARIO!I262</f>
        <v>0</v>
      </c>
      <c r="J261" s="3" t="str">
        <f>CONTROLE_DIARIO!J262</f>
        <v/>
      </c>
      <c r="K261" s="3" t="str">
        <f>CONTROLE_DIARIO!K262</f>
        <v/>
      </c>
      <c r="L261" s="51">
        <f>CONTROLE_DIARIO!L262</f>
        <v>0</v>
      </c>
      <c r="M261" s="51">
        <f>CONTROLE_DIARIO!M262</f>
        <v>0</v>
      </c>
      <c r="N261" s="3">
        <f>CONTROLE_DIARIO!N262</f>
        <v>0</v>
      </c>
      <c r="O261" s="3" t="str">
        <f>CONTROLE_DIARIO!O262</f>
        <v/>
      </c>
      <c r="P261" s="51" t="str">
        <f>CONTROLE_DIARIO!P262</f>
        <v/>
      </c>
      <c r="Q261" s="6">
        <f t="shared" si="26"/>
        <v>0</v>
      </c>
      <c r="R261" s="54" t="str">
        <f t="shared" si="27"/>
        <v>OK</v>
      </c>
      <c r="S261" s="3" t="str">
        <f t="shared" si="28"/>
        <v>jan/yy</v>
      </c>
      <c r="T261" s="3">
        <f t="shared" si="29"/>
        <v>1</v>
      </c>
      <c r="U261" s="3">
        <f t="shared" si="30"/>
        <v>1900</v>
      </c>
      <c r="V261" s="6">
        <f t="shared" si="31"/>
        <v>0</v>
      </c>
      <c r="W261" s="3" t="str">
        <f t="shared" si="32"/>
        <v>CRÍTICO</v>
      </c>
    </row>
    <row r="262" spans="1:23" x14ac:dyDescent="0.25">
      <c r="A262" s="2">
        <f>CONTROLE_DIARIO!A263</f>
        <v>0</v>
      </c>
      <c r="B262" s="51">
        <f>CONTROLE_DIARIO!B263</f>
        <v>0</v>
      </c>
      <c r="C262" s="3">
        <f>CONTROLE_DIARIO!C263</f>
        <v>0</v>
      </c>
      <c r="D262" s="3">
        <f>CONTROLE_DIARIO!D263</f>
        <v>0</v>
      </c>
      <c r="E262" s="3">
        <f>CONTROLE_DIARIO!E263</f>
        <v>0</v>
      </c>
      <c r="F262" s="3">
        <f>CONTROLE_DIARIO!F263</f>
        <v>0</v>
      </c>
      <c r="G262" s="3">
        <f>CONTROLE_DIARIO!G263</f>
        <v>0</v>
      </c>
      <c r="H262" s="3">
        <f>CONTROLE_DIARIO!H263</f>
        <v>0</v>
      </c>
      <c r="I262" s="3">
        <f>CONTROLE_DIARIO!I263</f>
        <v>0</v>
      </c>
      <c r="J262" s="3" t="str">
        <f>CONTROLE_DIARIO!J263</f>
        <v/>
      </c>
      <c r="K262" s="3" t="str">
        <f>CONTROLE_DIARIO!K263</f>
        <v/>
      </c>
      <c r="L262" s="51">
        <f>CONTROLE_DIARIO!L263</f>
        <v>0</v>
      </c>
      <c r="M262" s="51">
        <f>CONTROLE_DIARIO!M263</f>
        <v>0</v>
      </c>
      <c r="N262" s="3">
        <f>CONTROLE_DIARIO!N263</f>
        <v>0</v>
      </c>
      <c r="O262" s="3" t="str">
        <f>CONTROLE_DIARIO!O263</f>
        <v/>
      </c>
      <c r="P262" s="51" t="str">
        <f>CONTROLE_DIARIO!P263</f>
        <v/>
      </c>
      <c r="Q262" s="6">
        <f t="shared" ref="Q262:Q325" si="33">IF(C262="","",(IF(F262="SIM",0.3,0)+IF(J262="SIM",0.4,0)+IF(I262="SIM",0.3,0)))</f>
        <v>0</v>
      </c>
      <c r="R262" s="54" t="str">
        <f t="shared" ref="R262:R325" si="34">IF(C262="","",IF(E262="Retorno Total","Retorno Total",IF(E262="Cancelado","Manifesto Cancelado",IF(AND(F262="NÃO",G262="NÃO",H262="NÃO"),"FORA APP",IF(F262="NÃO","Não conferido",IF(I262="NÃO","Não baixado",IF(AND(G262="NÃO",H262="NÃO"),"Sem foto e assinatura",IF(G262="NÃO","Sem foto",IF(H262="NÃO","Sem assinatura","OK")))))))))</f>
        <v>OK</v>
      </c>
      <c r="S262" s="3" t="str">
        <f t="shared" ref="S262:S325" si="35">IF(A262="","",TEXT(A262,"mmm/yy"))</f>
        <v>jan/yy</v>
      </c>
      <c r="T262" s="3">
        <f t="shared" ref="T262:T325" si="36">IF(A262="","",WEEKNUM(A262,2))</f>
        <v>1</v>
      </c>
      <c r="U262" s="3">
        <f t="shared" ref="U262:U325" si="37">IF(A262="","",YEAR(A262))</f>
        <v>1900</v>
      </c>
      <c r="V262" s="6">
        <f t="shared" ref="V262:V325" si="38">IF(C262="","",Q262)</f>
        <v>0</v>
      </c>
      <c r="W262" s="3" t="str">
        <f t="shared" ref="W262:W325" si="39">IF(C262="","",IF(Q262&lt;0.85,"CRÍTICO",IF(Q262&lt;0.95,"ATENÇÃO","OK")))</f>
        <v>CRÍTICO</v>
      </c>
    </row>
    <row r="263" spans="1:23" x14ac:dyDescent="0.25">
      <c r="A263" s="2">
        <f>CONTROLE_DIARIO!A264</f>
        <v>0</v>
      </c>
      <c r="B263" s="51">
        <f>CONTROLE_DIARIO!B264</f>
        <v>0</v>
      </c>
      <c r="C263" s="3">
        <f>CONTROLE_DIARIO!C264</f>
        <v>0</v>
      </c>
      <c r="D263" s="3">
        <f>CONTROLE_DIARIO!D264</f>
        <v>0</v>
      </c>
      <c r="E263" s="3">
        <f>CONTROLE_DIARIO!E264</f>
        <v>0</v>
      </c>
      <c r="F263" s="3">
        <f>CONTROLE_DIARIO!F264</f>
        <v>0</v>
      </c>
      <c r="G263" s="3">
        <f>CONTROLE_DIARIO!G264</f>
        <v>0</v>
      </c>
      <c r="H263" s="3">
        <f>CONTROLE_DIARIO!H264</f>
        <v>0</v>
      </c>
      <c r="I263" s="3">
        <f>CONTROLE_DIARIO!I264</f>
        <v>0</v>
      </c>
      <c r="J263" s="3" t="str">
        <f>CONTROLE_DIARIO!J264</f>
        <v/>
      </c>
      <c r="K263" s="3" t="str">
        <f>CONTROLE_DIARIO!K264</f>
        <v/>
      </c>
      <c r="L263" s="51">
        <f>CONTROLE_DIARIO!L264</f>
        <v>0</v>
      </c>
      <c r="M263" s="51">
        <f>CONTROLE_DIARIO!M264</f>
        <v>0</v>
      </c>
      <c r="N263" s="3">
        <f>CONTROLE_DIARIO!N264</f>
        <v>0</v>
      </c>
      <c r="O263" s="3" t="str">
        <f>CONTROLE_DIARIO!O264</f>
        <v/>
      </c>
      <c r="P263" s="51" t="str">
        <f>CONTROLE_DIARIO!P264</f>
        <v/>
      </c>
      <c r="Q263" s="6">
        <f t="shared" si="33"/>
        <v>0</v>
      </c>
      <c r="R263" s="54" t="str">
        <f t="shared" si="34"/>
        <v>OK</v>
      </c>
      <c r="S263" s="3" t="str">
        <f t="shared" si="35"/>
        <v>jan/yy</v>
      </c>
      <c r="T263" s="3">
        <f t="shared" si="36"/>
        <v>1</v>
      </c>
      <c r="U263" s="3">
        <f t="shared" si="37"/>
        <v>1900</v>
      </c>
      <c r="V263" s="6">
        <f t="shared" si="38"/>
        <v>0</v>
      </c>
      <c r="W263" s="3" t="str">
        <f t="shared" si="39"/>
        <v>CRÍTICO</v>
      </c>
    </row>
    <row r="264" spans="1:23" x14ac:dyDescent="0.25">
      <c r="A264" s="2">
        <f>CONTROLE_DIARIO!A265</f>
        <v>0</v>
      </c>
      <c r="B264" s="51">
        <f>CONTROLE_DIARIO!B265</f>
        <v>0</v>
      </c>
      <c r="C264" s="3">
        <f>CONTROLE_DIARIO!C265</f>
        <v>0</v>
      </c>
      <c r="D264" s="3">
        <f>CONTROLE_DIARIO!D265</f>
        <v>0</v>
      </c>
      <c r="E264" s="3">
        <f>CONTROLE_DIARIO!E265</f>
        <v>0</v>
      </c>
      <c r="F264" s="3">
        <f>CONTROLE_DIARIO!F265</f>
        <v>0</v>
      </c>
      <c r="G264" s="3">
        <f>CONTROLE_DIARIO!G265</f>
        <v>0</v>
      </c>
      <c r="H264" s="3">
        <f>CONTROLE_DIARIO!H265</f>
        <v>0</v>
      </c>
      <c r="I264" s="3">
        <f>CONTROLE_DIARIO!I265</f>
        <v>0</v>
      </c>
      <c r="J264" s="3" t="str">
        <f>CONTROLE_DIARIO!J265</f>
        <v/>
      </c>
      <c r="K264" s="3" t="str">
        <f>CONTROLE_DIARIO!K265</f>
        <v/>
      </c>
      <c r="L264" s="51">
        <f>CONTROLE_DIARIO!L265</f>
        <v>0</v>
      </c>
      <c r="M264" s="51">
        <f>CONTROLE_DIARIO!M265</f>
        <v>0</v>
      </c>
      <c r="N264" s="3">
        <f>CONTROLE_DIARIO!N265</f>
        <v>0</v>
      </c>
      <c r="O264" s="3" t="str">
        <f>CONTROLE_DIARIO!O265</f>
        <v/>
      </c>
      <c r="P264" s="51" t="str">
        <f>CONTROLE_DIARIO!P265</f>
        <v/>
      </c>
      <c r="Q264" s="6">
        <f t="shared" si="33"/>
        <v>0</v>
      </c>
      <c r="R264" s="54" t="str">
        <f t="shared" si="34"/>
        <v>OK</v>
      </c>
      <c r="S264" s="3" t="str">
        <f t="shared" si="35"/>
        <v>jan/yy</v>
      </c>
      <c r="T264" s="3">
        <f t="shared" si="36"/>
        <v>1</v>
      </c>
      <c r="U264" s="3">
        <f t="shared" si="37"/>
        <v>1900</v>
      </c>
      <c r="V264" s="6">
        <f t="shared" si="38"/>
        <v>0</v>
      </c>
      <c r="W264" s="3" t="str">
        <f t="shared" si="39"/>
        <v>CRÍTICO</v>
      </c>
    </row>
    <row r="265" spans="1:23" x14ac:dyDescent="0.25">
      <c r="A265" s="2">
        <f>CONTROLE_DIARIO!A266</f>
        <v>0</v>
      </c>
      <c r="B265" s="51">
        <f>CONTROLE_DIARIO!B266</f>
        <v>0</v>
      </c>
      <c r="C265" s="3">
        <f>CONTROLE_DIARIO!C266</f>
        <v>0</v>
      </c>
      <c r="D265" s="3">
        <f>CONTROLE_DIARIO!D266</f>
        <v>0</v>
      </c>
      <c r="E265" s="3">
        <f>CONTROLE_DIARIO!E266</f>
        <v>0</v>
      </c>
      <c r="F265" s="3">
        <f>CONTROLE_DIARIO!F266</f>
        <v>0</v>
      </c>
      <c r="G265" s="3">
        <f>CONTROLE_DIARIO!G266</f>
        <v>0</v>
      </c>
      <c r="H265" s="3">
        <f>CONTROLE_DIARIO!H266</f>
        <v>0</v>
      </c>
      <c r="I265" s="3">
        <f>CONTROLE_DIARIO!I266</f>
        <v>0</v>
      </c>
      <c r="J265" s="3" t="str">
        <f>CONTROLE_DIARIO!J266</f>
        <v/>
      </c>
      <c r="K265" s="3" t="str">
        <f>CONTROLE_DIARIO!K266</f>
        <v/>
      </c>
      <c r="L265" s="51">
        <f>CONTROLE_DIARIO!L266</f>
        <v>0</v>
      </c>
      <c r="M265" s="51">
        <f>CONTROLE_DIARIO!M266</f>
        <v>0</v>
      </c>
      <c r="N265" s="3">
        <f>CONTROLE_DIARIO!N266</f>
        <v>0</v>
      </c>
      <c r="O265" s="3" t="str">
        <f>CONTROLE_DIARIO!O266</f>
        <v/>
      </c>
      <c r="P265" s="51" t="str">
        <f>CONTROLE_DIARIO!P266</f>
        <v/>
      </c>
      <c r="Q265" s="6">
        <f t="shared" si="33"/>
        <v>0</v>
      </c>
      <c r="R265" s="54" t="str">
        <f t="shared" si="34"/>
        <v>OK</v>
      </c>
      <c r="S265" s="3" t="str">
        <f t="shared" si="35"/>
        <v>jan/yy</v>
      </c>
      <c r="T265" s="3">
        <f t="shared" si="36"/>
        <v>1</v>
      </c>
      <c r="U265" s="3">
        <f t="shared" si="37"/>
        <v>1900</v>
      </c>
      <c r="V265" s="6">
        <f t="shared" si="38"/>
        <v>0</v>
      </c>
      <c r="W265" s="3" t="str">
        <f t="shared" si="39"/>
        <v>CRÍTICO</v>
      </c>
    </row>
    <row r="266" spans="1:23" x14ac:dyDescent="0.25">
      <c r="A266" s="2">
        <f>CONTROLE_DIARIO!A267</f>
        <v>0</v>
      </c>
      <c r="B266" s="51">
        <f>CONTROLE_DIARIO!B267</f>
        <v>0</v>
      </c>
      <c r="C266" s="3">
        <f>CONTROLE_DIARIO!C267</f>
        <v>0</v>
      </c>
      <c r="D266" s="3">
        <f>CONTROLE_DIARIO!D267</f>
        <v>0</v>
      </c>
      <c r="E266" s="3">
        <f>CONTROLE_DIARIO!E267</f>
        <v>0</v>
      </c>
      <c r="F266" s="3">
        <f>CONTROLE_DIARIO!F267</f>
        <v>0</v>
      </c>
      <c r="G266" s="3">
        <f>CONTROLE_DIARIO!G267</f>
        <v>0</v>
      </c>
      <c r="H266" s="3">
        <f>CONTROLE_DIARIO!H267</f>
        <v>0</v>
      </c>
      <c r="I266" s="3">
        <f>CONTROLE_DIARIO!I267</f>
        <v>0</v>
      </c>
      <c r="J266" s="3" t="str">
        <f>CONTROLE_DIARIO!J267</f>
        <v/>
      </c>
      <c r="K266" s="3" t="str">
        <f>CONTROLE_DIARIO!K267</f>
        <v/>
      </c>
      <c r="L266" s="51">
        <f>CONTROLE_DIARIO!L267</f>
        <v>0</v>
      </c>
      <c r="M266" s="51">
        <f>CONTROLE_DIARIO!M267</f>
        <v>0</v>
      </c>
      <c r="N266" s="3">
        <f>CONTROLE_DIARIO!N267</f>
        <v>0</v>
      </c>
      <c r="O266" s="3" t="str">
        <f>CONTROLE_DIARIO!O267</f>
        <v/>
      </c>
      <c r="P266" s="51" t="str">
        <f>CONTROLE_DIARIO!P267</f>
        <v/>
      </c>
      <c r="Q266" s="6">
        <f t="shared" si="33"/>
        <v>0</v>
      </c>
      <c r="R266" s="54" t="str">
        <f t="shared" si="34"/>
        <v>OK</v>
      </c>
      <c r="S266" s="3" t="str">
        <f t="shared" si="35"/>
        <v>jan/yy</v>
      </c>
      <c r="T266" s="3">
        <f t="shared" si="36"/>
        <v>1</v>
      </c>
      <c r="U266" s="3">
        <f t="shared" si="37"/>
        <v>1900</v>
      </c>
      <c r="V266" s="6">
        <f t="shared" si="38"/>
        <v>0</v>
      </c>
      <c r="W266" s="3" t="str">
        <f t="shared" si="39"/>
        <v>CRÍTICO</v>
      </c>
    </row>
    <row r="267" spans="1:23" x14ac:dyDescent="0.25">
      <c r="A267" s="2">
        <f>CONTROLE_DIARIO!A268</f>
        <v>0</v>
      </c>
      <c r="B267" s="51">
        <f>CONTROLE_DIARIO!B268</f>
        <v>0</v>
      </c>
      <c r="C267" s="3">
        <f>CONTROLE_DIARIO!C268</f>
        <v>0</v>
      </c>
      <c r="D267" s="3">
        <f>CONTROLE_DIARIO!D268</f>
        <v>0</v>
      </c>
      <c r="E267" s="3">
        <f>CONTROLE_DIARIO!E268</f>
        <v>0</v>
      </c>
      <c r="F267" s="3">
        <f>CONTROLE_DIARIO!F268</f>
        <v>0</v>
      </c>
      <c r="G267" s="3">
        <f>CONTROLE_DIARIO!G268</f>
        <v>0</v>
      </c>
      <c r="H267" s="3">
        <f>CONTROLE_DIARIO!H268</f>
        <v>0</v>
      </c>
      <c r="I267" s="3">
        <f>CONTROLE_DIARIO!I268</f>
        <v>0</v>
      </c>
      <c r="J267" s="3" t="str">
        <f>CONTROLE_DIARIO!J268</f>
        <v/>
      </c>
      <c r="K267" s="3" t="str">
        <f>CONTROLE_DIARIO!K268</f>
        <v/>
      </c>
      <c r="L267" s="51">
        <f>CONTROLE_DIARIO!L268</f>
        <v>0</v>
      </c>
      <c r="M267" s="51">
        <f>CONTROLE_DIARIO!M268</f>
        <v>0</v>
      </c>
      <c r="N267" s="3">
        <f>CONTROLE_DIARIO!N268</f>
        <v>0</v>
      </c>
      <c r="O267" s="3" t="str">
        <f>CONTROLE_DIARIO!O268</f>
        <v/>
      </c>
      <c r="P267" s="51" t="str">
        <f>CONTROLE_DIARIO!P268</f>
        <v/>
      </c>
      <c r="Q267" s="6">
        <f t="shared" si="33"/>
        <v>0</v>
      </c>
      <c r="R267" s="54" t="str">
        <f t="shared" si="34"/>
        <v>OK</v>
      </c>
      <c r="S267" s="3" t="str">
        <f t="shared" si="35"/>
        <v>jan/yy</v>
      </c>
      <c r="T267" s="3">
        <f t="shared" si="36"/>
        <v>1</v>
      </c>
      <c r="U267" s="3">
        <f t="shared" si="37"/>
        <v>1900</v>
      </c>
      <c r="V267" s="6">
        <f t="shared" si="38"/>
        <v>0</v>
      </c>
      <c r="W267" s="3" t="str">
        <f t="shared" si="39"/>
        <v>CRÍTICO</v>
      </c>
    </row>
    <row r="268" spans="1:23" x14ac:dyDescent="0.25">
      <c r="A268" s="2">
        <f>CONTROLE_DIARIO!A269</f>
        <v>0</v>
      </c>
      <c r="B268" s="51">
        <f>CONTROLE_DIARIO!B269</f>
        <v>0</v>
      </c>
      <c r="C268" s="3">
        <f>CONTROLE_DIARIO!C269</f>
        <v>0</v>
      </c>
      <c r="D268" s="3">
        <f>CONTROLE_DIARIO!D269</f>
        <v>0</v>
      </c>
      <c r="E268" s="3">
        <f>CONTROLE_DIARIO!E269</f>
        <v>0</v>
      </c>
      <c r="F268" s="3">
        <f>CONTROLE_DIARIO!F269</f>
        <v>0</v>
      </c>
      <c r="G268" s="3">
        <f>CONTROLE_DIARIO!G269</f>
        <v>0</v>
      </c>
      <c r="H268" s="3">
        <f>CONTROLE_DIARIO!H269</f>
        <v>0</v>
      </c>
      <c r="I268" s="3">
        <f>CONTROLE_DIARIO!I269</f>
        <v>0</v>
      </c>
      <c r="J268" s="3" t="str">
        <f>CONTROLE_DIARIO!J269</f>
        <v/>
      </c>
      <c r="K268" s="3" t="str">
        <f>CONTROLE_DIARIO!K269</f>
        <v/>
      </c>
      <c r="L268" s="51">
        <f>CONTROLE_DIARIO!L269</f>
        <v>0</v>
      </c>
      <c r="M268" s="51">
        <f>CONTROLE_DIARIO!M269</f>
        <v>0</v>
      </c>
      <c r="N268" s="3">
        <f>CONTROLE_DIARIO!N269</f>
        <v>0</v>
      </c>
      <c r="O268" s="3" t="str">
        <f>CONTROLE_DIARIO!O269</f>
        <v/>
      </c>
      <c r="P268" s="51" t="str">
        <f>CONTROLE_DIARIO!P269</f>
        <v/>
      </c>
      <c r="Q268" s="6">
        <f t="shared" si="33"/>
        <v>0</v>
      </c>
      <c r="R268" s="54" t="str">
        <f t="shared" si="34"/>
        <v>OK</v>
      </c>
      <c r="S268" s="3" t="str">
        <f t="shared" si="35"/>
        <v>jan/yy</v>
      </c>
      <c r="T268" s="3">
        <f t="shared" si="36"/>
        <v>1</v>
      </c>
      <c r="U268" s="3">
        <f t="shared" si="37"/>
        <v>1900</v>
      </c>
      <c r="V268" s="6">
        <f t="shared" si="38"/>
        <v>0</v>
      </c>
      <c r="W268" s="3" t="str">
        <f t="shared" si="39"/>
        <v>CRÍTICO</v>
      </c>
    </row>
    <row r="269" spans="1:23" x14ac:dyDescent="0.25">
      <c r="A269" s="2">
        <f>CONTROLE_DIARIO!A270</f>
        <v>0</v>
      </c>
      <c r="B269" s="51">
        <f>CONTROLE_DIARIO!B270</f>
        <v>0</v>
      </c>
      <c r="C269" s="3">
        <f>CONTROLE_DIARIO!C270</f>
        <v>0</v>
      </c>
      <c r="D269" s="3">
        <f>CONTROLE_DIARIO!D270</f>
        <v>0</v>
      </c>
      <c r="E269" s="3">
        <f>CONTROLE_DIARIO!E270</f>
        <v>0</v>
      </c>
      <c r="F269" s="3">
        <f>CONTROLE_DIARIO!F270</f>
        <v>0</v>
      </c>
      <c r="G269" s="3">
        <f>CONTROLE_DIARIO!G270</f>
        <v>0</v>
      </c>
      <c r="H269" s="3">
        <f>CONTROLE_DIARIO!H270</f>
        <v>0</v>
      </c>
      <c r="I269" s="3">
        <f>CONTROLE_DIARIO!I270</f>
        <v>0</v>
      </c>
      <c r="J269" s="3" t="str">
        <f>CONTROLE_DIARIO!J270</f>
        <v/>
      </c>
      <c r="K269" s="3" t="str">
        <f>CONTROLE_DIARIO!K270</f>
        <v/>
      </c>
      <c r="L269" s="51">
        <f>CONTROLE_DIARIO!L270</f>
        <v>0</v>
      </c>
      <c r="M269" s="51">
        <f>CONTROLE_DIARIO!M270</f>
        <v>0</v>
      </c>
      <c r="N269" s="3">
        <f>CONTROLE_DIARIO!N270</f>
        <v>0</v>
      </c>
      <c r="O269" s="3" t="str">
        <f>CONTROLE_DIARIO!O270</f>
        <v/>
      </c>
      <c r="P269" s="51" t="str">
        <f>CONTROLE_DIARIO!P270</f>
        <v/>
      </c>
      <c r="Q269" s="6">
        <f t="shared" si="33"/>
        <v>0</v>
      </c>
      <c r="R269" s="54" t="str">
        <f t="shared" si="34"/>
        <v>OK</v>
      </c>
      <c r="S269" s="3" t="str">
        <f t="shared" si="35"/>
        <v>jan/yy</v>
      </c>
      <c r="T269" s="3">
        <f t="shared" si="36"/>
        <v>1</v>
      </c>
      <c r="U269" s="3">
        <f t="shared" si="37"/>
        <v>1900</v>
      </c>
      <c r="V269" s="6">
        <f t="shared" si="38"/>
        <v>0</v>
      </c>
      <c r="W269" s="3" t="str">
        <f t="shared" si="39"/>
        <v>CRÍTICO</v>
      </c>
    </row>
    <row r="270" spans="1:23" x14ac:dyDescent="0.25">
      <c r="A270" s="2">
        <f>CONTROLE_DIARIO!A271</f>
        <v>0</v>
      </c>
      <c r="B270" s="51">
        <f>CONTROLE_DIARIO!B271</f>
        <v>0</v>
      </c>
      <c r="C270" s="3">
        <f>CONTROLE_DIARIO!C271</f>
        <v>0</v>
      </c>
      <c r="D270" s="3">
        <f>CONTROLE_DIARIO!D271</f>
        <v>0</v>
      </c>
      <c r="E270" s="3">
        <f>CONTROLE_DIARIO!E271</f>
        <v>0</v>
      </c>
      <c r="F270" s="3">
        <f>CONTROLE_DIARIO!F271</f>
        <v>0</v>
      </c>
      <c r="G270" s="3">
        <f>CONTROLE_DIARIO!G271</f>
        <v>0</v>
      </c>
      <c r="H270" s="3">
        <f>CONTROLE_DIARIO!H271</f>
        <v>0</v>
      </c>
      <c r="I270" s="3">
        <f>CONTROLE_DIARIO!I271</f>
        <v>0</v>
      </c>
      <c r="J270" s="3" t="str">
        <f>CONTROLE_DIARIO!J271</f>
        <v/>
      </c>
      <c r="K270" s="3" t="str">
        <f>CONTROLE_DIARIO!K271</f>
        <v/>
      </c>
      <c r="L270" s="51">
        <f>CONTROLE_DIARIO!L271</f>
        <v>0</v>
      </c>
      <c r="M270" s="51">
        <f>CONTROLE_DIARIO!M271</f>
        <v>0</v>
      </c>
      <c r="N270" s="3">
        <f>CONTROLE_DIARIO!N271</f>
        <v>0</v>
      </c>
      <c r="O270" s="3" t="str">
        <f>CONTROLE_DIARIO!O271</f>
        <v/>
      </c>
      <c r="P270" s="51" t="str">
        <f>CONTROLE_DIARIO!P271</f>
        <v/>
      </c>
      <c r="Q270" s="6">
        <f t="shared" si="33"/>
        <v>0</v>
      </c>
      <c r="R270" s="54" t="str">
        <f t="shared" si="34"/>
        <v>OK</v>
      </c>
      <c r="S270" s="3" t="str">
        <f t="shared" si="35"/>
        <v>jan/yy</v>
      </c>
      <c r="T270" s="3">
        <f t="shared" si="36"/>
        <v>1</v>
      </c>
      <c r="U270" s="3">
        <f t="shared" si="37"/>
        <v>1900</v>
      </c>
      <c r="V270" s="6">
        <f t="shared" si="38"/>
        <v>0</v>
      </c>
      <c r="W270" s="3" t="str">
        <f t="shared" si="39"/>
        <v>CRÍTICO</v>
      </c>
    </row>
    <row r="271" spans="1:23" x14ac:dyDescent="0.25">
      <c r="A271" s="2">
        <f>CONTROLE_DIARIO!A272</f>
        <v>0</v>
      </c>
      <c r="B271" s="51">
        <f>CONTROLE_DIARIO!B272</f>
        <v>0</v>
      </c>
      <c r="C271" s="3">
        <f>CONTROLE_DIARIO!C272</f>
        <v>0</v>
      </c>
      <c r="D271" s="3">
        <f>CONTROLE_DIARIO!D272</f>
        <v>0</v>
      </c>
      <c r="E271" s="3">
        <f>CONTROLE_DIARIO!E272</f>
        <v>0</v>
      </c>
      <c r="F271" s="3">
        <f>CONTROLE_DIARIO!F272</f>
        <v>0</v>
      </c>
      <c r="G271" s="3">
        <f>CONTROLE_DIARIO!G272</f>
        <v>0</v>
      </c>
      <c r="H271" s="3">
        <f>CONTROLE_DIARIO!H272</f>
        <v>0</v>
      </c>
      <c r="I271" s="3">
        <f>CONTROLE_DIARIO!I272</f>
        <v>0</v>
      </c>
      <c r="J271" s="3" t="str">
        <f>CONTROLE_DIARIO!J272</f>
        <v/>
      </c>
      <c r="K271" s="3" t="str">
        <f>CONTROLE_DIARIO!K272</f>
        <v/>
      </c>
      <c r="L271" s="51">
        <f>CONTROLE_DIARIO!L272</f>
        <v>0</v>
      </c>
      <c r="M271" s="51">
        <f>CONTROLE_DIARIO!M272</f>
        <v>0</v>
      </c>
      <c r="N271" s="3">
        <f>CONTROLE_DIARIO!N272</f>
        <v>0</v>
      </c>
      <c r="O271" s="3" t="str">
        <f>CONTROLE_DIARIO!O272</f>
        <v/>
      </c>
      <c r="P271" s="51" t="str">
        <f>CONTROLE_DIARIO!P272</f>
        <v/>
      </c>
      <c r="Q271" s="6">
        <f t="shared" si="33"/>
        <v>0</v>
      </c>
      <c r="R271" s="54" t="str">
        <f t="shared" si="34"/>
        <v>OK</v>
      </c>
      <c r="S271" s="3" t="str">
        <f t="shared" si="35"/>
        <v>jan/yy</v>
      </c>
      <c r="T271" s="3">
        <f t="shared" si="36"/>
        <v>1</v>
      </c>
      <c r="U271" s="3">
        <f t="shared" si="37"/>
        <v>1900</v>
      </c>
      <c r="V271" s="6">
        <f t="shared" si="38"/>
        <v>0</v>
      </c>
      <c r="W271" s="3" t="str">
        <f t="shared" si="39"/>
        <v>CRÍTICO</v>
      </c>
    </row>
    <row r="272" spans="1:23" x14ac:dyDescent="0.25">
      <c r="A272" s="2">
        <f>CONTROLE_DIARIO!A273</f>
        <v>0</v>
      </c>
      <c r="B272" s="51">
        <f>CONTROLE_DIARIO!B273</f>
        <v>0</v>
      </c>
      <c r="C272" s="3">
        <f>CONTROLE_DIARIO!C273</f>
        <v>0</v>
      </c>
      <c r="D272" s="3">
        <f>CONTROLE_DIARIO!D273</f>
        <v>0</v>
      </c>
      <c r="E272" s="3">
        <f>CONTROLE_DIARIO!E273</f>
        <v>0</v>
      </c>
      <c r="F272" s="3">
        <f>CONTROLE_DIARIO!F273</f>
        <v>0</v>
      </c>
      <c r="G272" s="3">
        <f>CONTROLE_DIARIO!G273</f>
        <v>0</v>
      </c>
      <c r="H272" s="3">
        <f>CONTROLE_DIARIO!H273</f>
        <v>0</v>
      </c>
      <c r="I272" s="3">
        <f>CONTROLE_DIARIO!I273</f>
        <v>0</v>
      </c>
      <c r="J272" s="3" t="str">
        <f>CONTROLE_DIARIO!J273</f>
        <v/>
      </c>
      <c r="K272" s="3" t="str">
        <f>CONTROLE_DIARIO!K273</f>
        <v/>
      </c>
      <c r="L272" s="51">
        <f>CONTROLE_DIARIO!L273</f>
        <v>0</v>
      </c>
      <c r="M272" s="51">
        <f>CONTROLE_DIARIO!M273</f>
        <v>0</v>
      </c>
      <c r="N272" s="3">
        <f>CONTROLE_DIARIO!N273</f>
        <v>0</v>
      </c>
      <c r="O272" s="3" t="str">
        <f>CONTROLE_DIARIO!O273</f>
        <v/>
      </c>
      <c r="P272" s="51" t="str">
        <f>CONTROLE_DIARIO!P273</f>
        <v/>
      </c>
      <c r="Q272" s="6">
        <f t="shared" si="33"/>
        <v>0</v>
      </c>
      <c r="R272" s="54" t="str">
        <f t="shared" si="34"/>
        <v>OK</v>
      </c>
      <c r="S272" s="3" t="str">
        <f t="shared" si="35"/>
        <v>jan/yy</v>
      </c>
      <c r="T272" s="3">
        <f t="shared" si="36"/>
        <v>1</v>
      </c>
      <c r="U272" s="3">
        <f t="shared" si="37"/>
        <v>1900</v>
      </c>
      <c r="V272" s="6">
        <f t="shared" si="38"/>
        <v>0</v>
      </c>
      <c r="W272" s="3" t="str">
        <f t="shared" si="39"/>
        <v>CRÍTICO</v>
      </c>
    </row>
    <row r="273" spans="1:23" x14ac:dyDescent="0.25">
      <c r="A273" s="2">
        <f>CONTROLE_DIARIO!A274</f>
        <v>0</v>
      </c>
      <c r="B273" s="51">
        <f>CONTROLE_DIARIO!B274</f>
        <v>0</v>
      </c>
      <c r="C273" s="3">
        <f>CONTROLE_DIARIO!C274</f>
        <v>0</v>
      </c>
      <c r="D273" s="3">
        <f>CONTROLE_DIARIO!D274</f>
        <v>0</v>
      </c>
      <c r="E273" s="3">
        <f>CONTROLE_DIARIO!E274</f>
        <v>0</v>
      </c>
      <c r="F273" s="3">
        <f>CONTROLE_DIARIO!F274</f>
        <v>0</v>
      </c>
      <c r="G273" s="3">
        <f>CONTROLE_DIARIO!G274</f>
        <v>0</v>
      </c>
      <c r="H273" s="3">
        <f>CONTROLE_DIARIO!H274</f>
        <v>0</v>
      </c>
      <c r="I273" s="3">
        <f>CONTROLE_DIARIO!I274</f>
        <v>0</v>
      </c>
      <c r="J273" s="3" t="str">
        <f>CONTROLE_DIARIO!J274</f>
        <v/>
      </c>
      <c r="K273" s="3" t="str">
        <f>CONTROLE_DIARIO!K274</f>
        <v/>
      </c>
      <c r="L273" s="51">
        <f>CONTROLE_DIARIO!L274</f>
        <v>0</v>
      </c>
      <c r="M273" s="51">
        <f>CONTROLE_DIARIO!M274</f>
        <v>0</v>
      </c>
      <c r="N273" s="3">
        <f>CONTROLE_DIARIO!N274</f>
        <v>0</v>
      </c>
      <c r="O273" s="3" t="str">
        <f>CONTROLE_DIARIO!O274</f>
        <v/>
      </c>
      <c r="P273" s="51" t="str">
        <f>CONTROLE_DIARIO!P274</f>
        <v/>
      </c>
      <c r="Q273" s="6">
        <f t="shared" si="33"/>
        <v>0</v>
      </c>
      <c r="R273" s="54" t="str">
        <f t="shared" si="34"/>
        <v>OK</v>
      </c>
      <c r="S273" s="3" t="str">
        <f t="shared" si="35"/>
        <v>jan/yy</v>
      </c>
      <c r="T273" s="3">
        <f t="shared" si="36"/>
        <v>1</v>
      </c>
      <c r="U273" s="3">
        <f t="shared" si="37"/>
        <v>1900</v>
      </c>
      <c r="V273" s="6">
        <f t="shared" si="38"/>
        <v>0</v>
      </c>
      <c r="W273" s="3" t="str">
        <f t="shared" si="39"/>
        <v>CRÍTICO</v>
      </c>
    </row>
    <row r="274" spans="1:23" x14ac:dyDescent="0.25">
      <c r="A274" s="2">
        <f>CONTROLE_DIARIO!A275</f>
        <v>0</v>
      </c>
      <c r="B274" s="51">
        <f>CONTROLE_DIARIO!B275</f>
        <v>0</v>
      </c>
      <c r="C274" s="3">
        <f>CONTROLE_DIARIO!C275</f>
        <v>0</v>
      </c>
      <c r="D274" s="3">
        <f>CONTROLE_DIARIO!D275</f>
        <v>0</v>
      </c>
      <c r="E274" s="3">
        <f>CONTROLE_DIARIO!E275</f>
        <v>0</v>
      </c>
      <c r="F274" s="3">
        <f>CONTROLE_DIARIO!F275</f>
        <v>0</v>
      </c>
      <c r="G274" s="3">
        <f>CONTROLE_DIARIO!G275</f>
        <v>0</v>
      </c>
      <c r="H274" s="3">
        <f>CONTROLE_DIARIO!H275</f>
        <v>0</v>
      </c>
      <c r="I274" s="3">
        <f>CONTROLE_DIARIO!I275</f>
        <v>0</v>
      </c>
      <c r="J274" s="3" t="str">
        <f>CONTROLE_DIARIO!J275</f>
        <v/>
      </c>
      <c r="K274" s="3" t="str">
        <f>CONTROLE_DIARIO!K275</f>
        <v/>
      </c>
      <c r="L274" s="51">
        <f>CONTROLE_DIARIO!L275</f>
        <v>0</v>
      </c>
      <c r="M274" s="51">
        <f>CONTROLE_DIARIO!M275</f>
        <v>0</v>
      </c>
      <c r="N274" s="3">
        <f>CONTROLE_DIARIO!N275</f>
        <v>0</v>
      </c>
      <c r="O274" s="3" t="str">
        <f>CONTROLE_DIARIO!O275</f>
        <v/>
      </c>
      <c r="P274" s="51" t="str">
        <f>CONTROLE_DIARIO!P275</f>
        <v/>
      </c>
      <c r="Q274" s="6">
        <f t="shared" si="33"/>
        <v>0</v>
      </c>
      <c r="R274" s="54" t="str">
        <f t="shared" si="34"/>
        <v>OK</v>
      </c>
      <c r="S274" s="3" t="str">
        <f t="shared" si="35"/>
        <v>jan/yy</v>
      </c>
      <c r="T274" s="3">
        <f t="shared" si="36"/>
        <v>1</v>
      </c>
      <c r="U274" s="3">
        <f t="shared" si="37"/>
        <v>1900</v>
      </c>
      <c r="V274" s="6">
        <f t="shared" si="38"/>
        <v>0</v>
      </c>
      <c r="W274" s="3" t="str">
        <f t="shared" si="39"/>
        <v>CRÍTICO</v>
      </c>
    </row>
    <row r="275" spans="1:23" x14ac:dyDescent="0.25">
      <c r="A275" s="2">
        <f>CONTROLE_DIARIO!A276</f>
        <v>0</v>
      </c>
      <c r="B275" s="51">
        <f>CONTROLE_DIARIO!B276</f>
        <v>0</v>
      </c>
      <c r="C275" s="3">
        <f>CONTROLE_DIARIO!C276</f>
        <v>0</v>
      </c>
      <c r="D275" s="3">
        <f>CONTROLE_DIARIO!D276</f>
        <v>0</v>
      </c>
      <c r="E275" s="3">
        <f>CONTROLE_DIARIO!E276</f>
        <v>0</v>
      </c>
      <c r="F275" s="3">
        <f>CONTROLE_DIARIO!F276</f>
        <v>0</v>
      </c>
      <c r="G275" s="3">
        <f>CONTROLE_DIARIO!G276</f>
        <v>0</v>
      </c>
      <c r="H275" s="3">
        <f>CONTROLE_DIARIO!H276</f>
        <v>0</v>
      </c>
      <c r="I275" s="3">
        <f>CONTROLE_DIARIO!I276</f>
        <v>0</v>
      </c>
      <c r="J275" s="3" t="str">
        <f>CONTROLE_DIARIO!J276</f>
        <v/>
      </c>
      <c r="K275" s="3" t="str">
        <f>CONTROLE_DIARIO!K276</f>
        <v/>
      </c>
      <c r="L275" s="51">
        <f>CONTROLE_DIARIO!L276</f>
        <v>0</v>
      </c>
      <c r="M275" s="51">
        <f>CONTROLE_DIARIO!M276</f>
        <v>0</v>
      </c>
      <c r="N275" s="3">
        <f>CONTROLE_DIARIO!N276</f>
        <v>0</v>
      </c>
      <c r="O275" s="3" t="str">
        <f>CONTROLE_DIARIO!O276</f>
        <v/>
      </c>
      <c r="P275" s="51" t="str">
        <f>CONTROLE_DIARIO!P276</f>
        <v/>
      </c>
      <c r="Q275" s="6">
        <f t="shared" si="33"/>
        <v>0</v>
      </c>
      <c r="R275" s="54" t="str">
        <f t="shared" si="34"/>
        <v>OK</v>
      </c>
      <c r="S275" s="3" t="str">
        <f t="shared" si="35"/>
        <v>jan/yy</v>
      </c>
      <c r="T275" s="3">
        <f t="shared" si="36"/>
        <v>1</v>
      </c>
      <c r="U275" s="3">
        <f t="shared" si="37"/>
        <v>1900</v>
      </c>
      <c r="V275" s="6">
        <f t="shared" si="38"/>
        <v>0</v>
      </c>
      <c r="W275" s="3" t="str">
        <f t="shared" si="39"/>
        <v>CRÍTICO</v>
      </c>
    </row>
    <row r="276" spans="1:23" x14ac:dyDescent="0.25">
      <c r="A276" s="2">
        <f>CONTROLE_DIARIO!A277</f>
        <v>0</v>
      </c>
      <c r="B276" s="51">
        <f>CONTROLE_DIARIO!B277</f>
        <v>0</v>
      </c>
      <c r="C276" s="3">
        <f>CONTROLE_DIARIO!C277</f>
        <v>0</v>
      </c>
      <c r="D276" s="3">
        <f>CONTROLE_DIARIO!D277</f>
        <v>0</v>
      </c>
      <c r="E276" s="3">
        <f>CONTROLE_DIARIO!E277</f>
        <v>0</v>
      </c>
      <c r="F276" s="3">
        <f>CONTROLE_DIARIO!F277</f>
        <v>0</v>
      </c>
      <c r="G276" s="3">
        <f>CONTROLE_DIARIO!G277</f>
        <v>0</v>
      </c>
      <c r="H276" s="3">
        <f>CONTROLE_DIARIO!H277</f>
        <v>0</v>
      </c>
      <c r="I276" s="3">
        <f>CONTROLE_DIARIO!I277</f>
        <v>0</v>
      </c>
      <c r="J276" s="3" t="str">
        <f>CONTROLE_DIARIO!J277</f>
        <v/>
      </c>
      <c r="K276" s="3" t="str">
        <f>CONTROLE_DIARIO!K277</f>
        <v/>
      </c>
      <c r="L276" s="51">
        <f>CONTROLE_DIARIO!L277</f>
        <v>0</v>
      </c>
      <c r="M276" s="51">
        <f>CONTROLE_DIARIO!M277</f>
        <v>0</v>
      </c>
      <c r="N276" s="3">
        <f>CONTROLE_DIARIO!N277</f>
        <v>0</v>
      </c>
      <c r="O276" s="3" t="str">
        <f>CONTROLE_DIARIO!O277</f>
        <v/>
      </c>
      <c r="P276" s="51" t="str">
        <f>CONTROLE_DIARIO!P277</f>
        <v/>
      </c>
      <c r="Q276" s="6">
        <f t="shared" si="33"/>
        <v>0</v>
      </c>
      <c r="R276" s="54" t="str">
        <f t="shared" si="34"/>
        <v>OK</v>
      </c>
      <c r="S276" s="3" t="str">
        <f t="shared" si="35"/>
        <v>jan/yy</v>
      </c>
      <c r="T276" s="3">
        <f t="shared" si="36"/>
        <v>1</v>
      </c>
      <c r="U276" s="3">
        <f t="shared" si="37"/>
        <v>1900</v>
      </c>
      <c r="V276" s="6">
        <f t="shared" si="38"/>
        <v>0</v>
      </c>
      <c r="W276" s="3" t="str">
        <f t="shared" si="39"/>
        <v>CRÍTICO</v>
      </c>
    </row>
    <row r="277" spans="1:23" x14ac:dyDescent="0.25">
      <c r="A277" s="2">
        <f>CONTROLE_DIARIO!A278</f>
        <v>0</v>
      </c>
      <c r="B277" s="51">
        <f>CONTROLE_DIARIO!B278</f>
        <v>0</v>
      </c>
      <c r="C277" s="3">
        <f>CONTROLE_DIARIO!C278</f>
        <v>0</v>
      </c>
      <c r="D277" s="3">
        <f>CONTROLE_DIARIO!D278</f>
        <v>0</v>
      </c>
      <c r="E277" s="3">
        <f>CONTROLE_DIARIO!E278</f>
        <v>0</v>
      </c>
      <c r="F277" s="3">
        <f>CONTROLE_DIARIO!F278</f>
        <v>0</v>
      </c>
      <c r="G277" s="3">
        <f>CONTROLE_DIARIO!G278</f>
        <v>0</v>
      </c>
      <c r="H277" s="3">
        <f>CONTROLE_DIARIO!H278</f>
        <v>0</v>
      </c>
      <c r="I277" s="3">
        <f>CONTROLE_DIARIO!I278</f>
        <v>0</v>
      </c>
      <c r="J277" s="3" t="str">
        <f>CONTROLE_DIARIO!J278</f>
        <v/>
      </c>
      <c r="K277" s="3" t="str">
        <f>CONTROLE_DIARIO!K278</f>
        <v/>
      </c>
      <c r="L277" s="51">
        <f>CONTROLE_DIARIO!L278</f>
        <v>0</v>
      </c>
      <c r="M277" s="51">
        <f>CONTROLE_DIARIO!M278</f>
        <v>0</v>
      </c>
      <c r="N277" s="3">
        <f>CONTROLE_DIARIO!N278</f>
        <v>0</v>
      </c>
      <c r="O277" s="3" t="str">
        <f>CONTROLE_DIARIO!O278</f>
        <v/>
      </c>
      <c r="P277" s="51" t="str">
        <f>CONTROLE_DIARIO!P278</f>
        <v/>
      </c>
      <c r="Q277" s="6">
        <f t="shared" si="33"/>
        <v>0</v>
      </c>
      <c r="R277" s="54" t="str">
        <f t="shared" si="34"/>
        <v>OK</v>
      </c>
      <c r="S277" s="3" t="str">
        <f t="shared" si="35"/>
        <v>jan/yy</v>
      </c>
      <c r="T277" s="3">
        <f t="shared" si="36"/>
        <v>1</v>
      </c>
      <c r="U277" s="3">
        <f t="shared" si="37"/>
        <v>1900</v>
      </c>
      <c r="V277" s="6">
        <f t="shared" si="38"/>
        <v>0</v>
      </c>
      <c r="W277" s="3" t="str">
        <f t="shared" si="39"/>
        <v>CRÍTICO</v>
      </c>
    </row>
    <row r="278" spans="1:23" x14ac:dyDescent="0.25">
      <c r="A278" s="2">
        <f>CONTROLE_DIARIO!A279</f>
        <v>0</v>
      </c>
      <c r="B278" s="51">
        <f>CONTROLE_DIARIO!B279</f>
        <v>0</v>
      </c>
      <c r="C278" s="3">
        <f>CONTROLE_DIARIO!C279</f>
        <v>0</v>
      </c>
      <c r="D278" s="3">
        <f>CONTROLE_DIARIO!D279</f>
        <v>0</v>
      </c>
      <c r="E278" s="3">
        <f>CONTROLE_DIARIO!E279</f>
        <v>0</v>
      </c>
      <c r="F278" s="3">
        <f>CONTROLE_DIARIO!F279</f>
        <v>0</v>
      </c>
      <c r="G278" s="3">
        <f>CONTROLE_DIARIO!G279</f>
        <v>0</v>
      </c>
      <c r="H278" s="3">
        <f>CONTROLE_DIARIO!H279</f>
        <v>0</v>
      </c>
      <c r="I278" s="3">
        <f>CONTROLE_DIARIO!I279</f>
        <v>0</v>
      </c>
      <c r="J278" s="3" t="str">
        <f>CONTROLE_DIARIO!J279</f>
        <v/>
      </c>
      <c r="K278" s="3" t="str">
        <f>CONTROLE_DIARIO!K279</f>
        <v/>
      </c>
      <c r="L278" s="51">
        <f>CONTROLE_DIARIO!L279</f>
        <v>0</v>
      </c>
      <c r="M278" s="51">
        <f>CONTROLE_DIARIO!M279</f>
        <v>0</v>
      </c>
      <c r="N278" s="3">
        <f>CONTROLE_DIARIO!N279</f>
        <v>0</v>
      </c>
      <c r="O278" s="3" t="str">
        <f>CONTROLE_DIARIO!O279</f>
        <v/>
      </c>
      <c r="P278" s="51" t="str">
        <f>CONTROLE_DIARIO!P279</f>
        <v/>
      </c>
      <c r="Q278" s="6">
        <f t="shared" si="33"/>
        <v>0</v>
      </c>
      <c r="R278" s="54" t="str">
        <f t="shared" si="34"/>
        <v>OK</v>
      </c>
      <c r="S278" s="3" t="str">
        <f t="shared" si="35"/>
        <v>jan/yy</v>
      </c>
      <c r="T278" s="3">
        <f t="shared" si="36"/>
        <v>1</v>
      </c>
      <c r="U278" s="3">
        <f t="shared" si="37"/>
        <v>1900</v>
      </c>
      <c r="V278" s="6">
        <f t="shared" si="38"/>
        <v>0</v>
      </c>
      <c r="W278" s="3" t="str">
        <f t="shared" si="39"/>
        <v>CRÍTICO</v>
      </c>
    </row>
    <row r="279" spans="1:23" x14ac:dyDescent="0.25">
      <c r="A279" s="2">
        <f>CONTROLE_DIARIO!A280</f>
        <v>0</v>
      </c>
      <c r="B279" s="51">
        <f>CONTROLE_DIARIO!B280</f>
        <v>0</v>
      </c>
      <c r="C279" s="3">
        <f>CONTROLE_DIARIO!C280</f>
        <v>0</v>
      </c>
      <c r="D279" s="3">
        <f>CONTROLE_DIARIO!D280</f>
        <v>0</v>
      </c>
      <c r="E279" s="3">
        <f>CONTROLE_DIARIO!E280</f>
        <v>0</v>
      </c>
      <c r="F279" s="3">
        <f>CONTROLE_DIARIO!F280</f>
        <v>0</v>
      </c>
      <c r="G279" s="3">
        <f>CONTROLE_DIARIO!G280</f>
        <v>0</v>
      </c>
      <c r="H279" s="3">
        <f>CONTROLE_DIARIO!H280</f>
        <v>0</v>
      </c>
      <c r="I279" s="3">
        <f>CONTROLE_DIARIO!I280</f>
        <v>0</v>
      </c>
      <c r="J279" s="3" t="str">
        <f>CONTROLE_DIARIO!J280</f>
        <v/>
      </c>
      <c r="K279" s="3" t="str">
        <f>CONTROLE_DIARIO!K280</f>
        <v/>
      </c>
      <c r="L279" s="51">
        <f>CONTROLE_DIARIO!L280</f>
        <v>0</v>
      </c>
      <c r="M279" s="51">
        <f>CONTROLE_DIARIO!M280</f>
        <v>0</v>
      </c>
      <c r="N279" s="3">
        <f>CONTROLE_DIARIO!N280</f>
        <v>0</v>
      </c>
      <c r="O279" s="3" t="str">
        <f>CONTROLE_DIARIO!O280</f>
        <v/>
      </c>
      <c r="P279" s="51" t="str">
        <f>CONTROLE_DIARIO!P280</f>
        <v/>
      </c>
      <c r="Q279" s="6">
        <f t="shared" si="33"/>
        <v>0</v>
      </c>
      <c r="R279" s="54" t="str">
        <f t="shared" si="34"/>
        <v>OK</v>
      </c>
      <c r="S279" s="3" t="str">
        <f t="shared" si="35"/>
        <v>jan/yy</v>
      </c>
      <c r="T279" s="3">
        <f t="shared" si="36"/>
        <v>1</v>
      </c>
      <c r="U279" s="3">
        <f t="shared" si="37"/>
        <v>1900</v>
      </c>
      <c r="V279" s="6">
        <f t="shared" si="38"/>
        <v>0</v>
      </c>
      <c r="W279" s="3" t="str">
        <f t="shared" si="39"/>
        <v>CRÍTICO</v>
      </c>
    </row>
    <row r="280" spans="1:23" x14ac:dyDescent="0.25">
      <c r="A280" s="2">
        <f>CONTROLE_DIARIO!A281</f>
        <v>0</v>
      </c>
      <c r="B280" s="51">
        <f>CONTROLE_DIARIO!B281</f>
        <v>0</v>
      </c>
      <c r="C280" s="3">
        <f>CONTROLE_DIARIO!C281</f>
        <v>0</v>
      </c>
      <c r="D280" s="3">
        <f>CONTROLE_DIARIO!D281</f>
        <v>0</v>
      </c>
      <c r="E280" s="3">
        <f>CONTROLE_DIARIO!E281</f>
        <v>0</v>
      </c>
      <c r="F280" s="3">
        <f>CONTROLE_DIARIO!F281</f>
        <v>0</v>
      </c>
      <c r="G280" s="3">
        <f>CONTROLE_DIARIO!G281</f>
        <v>0</v>
      </c>
      <c r="H280" s="3">
        <f>CONTROLE_DIARIO!H281</f>
        <v>0</v>
      </c>
      <c r="I280" s="3">
        <f>CONTROLE_DIARIO!I281</f>
        <v>0</v>
      </c>
      <c r="J280" s="3" t="str">
        <f>CONTROLE_DIARIO!J281</f>
        <v/>
      </c>
      <c r="K280" s="3" t="str">
        <f>CONTROLE_DIARIO!K281</f>
        <v/>
      </c>
      <c r="L280" s="51">
        <f>CONTROLE_DIARIO!L281</f>
        <v>0</v>
      </c>
      <c r="M280" s="51">
        <f>CONTROLE_DIARIO!M281</f>
        <v>0</v>
      </c>
      <c r="N280" s="3">
        <f>CONTROLE_DIARIO!N281</f>
        <v>0</v>
      </c>
      <c r="O280" s="3" t="str">
        <f>CONTROLE_DIARIO!O281</f>
        <v/>
      </c>
      <c r="P280" s="51" t="str">
        <f>CONTROLE_DIARIO!P281</f>
        <v/>
      </c>
      <c r="Q280" s="6">
        <f t="shared" si="33"/>
        <v>0</v>
      </c>
      <c r="R280" s="54" t="str">
        <f t="shared" si="34"/>
        <v>OK</v>
      </c>
      <c r="S280" s="3" t="str">
        <f t="shared" si="35"/>
        <v>jan/yy</v>
      </c>
      <c r="T280" s="3">
        <f t="shared" si="36"/>
        <v>1</v>
      </c>
      <c r="U280" s="3">
        <f t="shared" si="37"/>
        <v>1900</v>
      </c>
      <c r="V280" s="6">
        <f t="shared" si="38"/>
        <v>0</v>
      </c>
      <c r="W280" s="3" t="str">
        <f t="shared" si="39"/>
        <v>CRÍTICO</v>
      </c>
    </row>
    <row r="281" spans="1:23" x14ac:dyDescent="0.25">
      <c r="A281" s="2">
        <f>CONTROLE_DIARIO!A282</f>
        <v>0</v>
      </c>
      <c r="B281" s="51">
        <f>CONTROLE_DIARIO!B282</f>
        <v>0</v>
      </c>
      <c r="C281" s="3">
        <f>CONTROLE_DIARIO!C282</f>
        <v>0</v>
      </c>
      <c r="D281" s="3">
        <f>CONTROLE_DIARIO!D282</f>
        <v>0</v>
      </c>
      <c r="E281" s="3">
        <f>CONTROLE_DIARIO!E282</f>
        <v>0</v>
      </c>
      <c r="F281" s="3">
        <f>CONTROLE_DIARIO!F282</f>
        <v>0</v>
      </c>
      <c r="G281" s="3">
        <f>CONTROLE_DIARIO!G282</f>
        <v>0</v>
      </c>
      <c r="H281" s="3">
        <f>CONTROLE_DIARIO!H282</f>
        <v>0</v>
      </c>
      <c r="I281" s="3">
        <f>CONTROLE_DIARIO!I282</f>
        <v>0</v>
      </c>
      <c r="J281" s="3" t="str">
        <f>CONTROLE_DIARIO!J282</f>
        <v/>
      </c>
      <c r="K281" s="3" t="str">
        <f>CONTROLE_DIARIO!K282</f>
        <v/>
      </c>
      <c r="L281" s="51">
        <f>CONTROLE_DIARIO!L282</f>
        <v>0</v>
      </c>
      <c r="M281" s="51">
        <f>CONTROLE_DIARIO!M282</f>
        <v>0</v>
      </c>
      <c r="N281" s="3">
        <f>CONTROLE_DIARIO!N282</f>
        <v>0</v>
      </c>
      <c r="O281" s="3" t="str">
        <f>CONTROLE_DIARIO!O282</f>
        <v/>
      </c>
      <c r="P281" s="51" t="str">
        <f>CONTROLE_DIARIO!P282</f>
        <v/>
      </c>
      <c r="Q281" s="6">
        <f t="shared" si="33"/>
        <v>0</v>
      </c>
      <c r="R281" s="54" t="str">
        <f t="shared" si="34"/>
        <v>OK</v>
      </c>
      <c r="S281" s="3" t="str">
        <f t="shared" si="35"/>
        <v>jan/yy</v>
      </c>
      <c r="T281" s="3">
        <f t="shared" si="36"/>
        <v>1</v>
      </c>
      <c r="U281" s="3">
        <f t="shared" si="37"/>
        <v>1900</v>
      </c>
      <c r="V281" s="6">
        <f t="shared" si="38"/>
        <v>0</v>
      </c>
      <c r="W281" s="3" t="str">
        <f t="shared" si="39"/>
        <v>CRÍTICO</v>
      </c>
    </row>
    <row r="282" spans="1:23" x14ac:dyDescent="0.25">
      <c r="A282" s="2">
        <f>CONTROLE_DIARIO!A283</f>
        <v>0</v>
      </c>
      <c r="B282" s="51">
        <f>CONTROLE_DIARIO!B283</f>
        <v>0</v>
      </c>
      <c r="C282" s="3">
        <f>CONTROLE_DIARIO!C283</f>
        <v>0</v>
      </c>
      <c r="D282" s="3">
        <f>CONTROLE_DIARIO!D283</f>
        <v>0</v>
      </c>
      <c r="E282" s="3">
        <f>CONTROLE_DIARIO!E283</f>
        <v>0</v>
      </c>
      <c r="F282" s="3">
        <f>CONTROLE_DIARIO!F283</f>
        <v>0</v>
      </c>
      <c r="G282" s="3">
        <f>CONTROLE_DIARIO!G283</f>
        <v>0</v>
      </c>
      <c r="H282" s="3">
        <f>CONTROLE_DIARIO!H283</f>
        <v>0</v>
      </c>
      <c r="I282" s="3">
        <f>CONTROLE_DIARIO!I283</f>
        <v>0</v>
      </c>
      <c r="J282" s="3" t="str">
        <f>CONTROLE_DIARIO!J283</f>
        <v/>
      </c>
      <c r="K282" s="3" t="str">
        <f>CONTROLE_DIARIO!K283</f>
        <v/>
      </c>
      <c r="L282" s="51">
        <f>CONTROLE_DIARIO!L283</f>
        <v>0</v>
      </c>
      <c r="M282" s="51">
        <f>CONTROLE_DIARIO!M283</f>
        <v>0</v>
      </c>
      <c r="N282" s="3">
        <f>CONTROLE_DIARIO!N283</f>
        <v>0</v>
      </c>
      <c r="O282" s="3" t="str">
        <f>CONTROLE_DIARIO!O283</f>
        <v/>
      </c>
      <c r="P282" s="51" t="str">
        <f>CONTROLE_DIARIO!P283</f>
        <v/>
      </c>
      <c r="Q282" s="6">
        <f t="shared" si="33"/>
        <v>0</v>
      </c>
      <c r="R282" s="54" t="str">
        <f t="shared" si="34"/>
        <v>OK</v>
      </c>
      <c r="S282" s="3" t="str">
        <f t="shared" si="35"/>
        <v>jan/yy</v>
      </c>
      <c r="T282" s="3">
        <f t="shared" si="36"/>
        <v>1</v>
      </c>
      <c r="U282" s="3">
        <f t="shared" si="37"/>
        <v>1900</v>
      </c>
      <c r="V282" s="6">
        <f t="shared" si="38"/>
        <v>0</v>
      </c>
      <c r="W282" s="3" t="str">
        <f t="shared" si="39"/>
        <v>CRÍTICO</v>
      </c>
    </row>
    <row r="283" spans="1:23" x14ac:dyDescent="0.25">
      <c r="A283" s="2">
        <f>CONTROLE_DIARIO!A284</f>
        <v>0</v>
      </c>
      <c r="B283" s="51">
        <f>CONTROLE_DIARIO!B284</f>
        <v>0</v>
      </c>
      <c r="C283" s="3">
        <f>CONTROLE_DIARIO!C284</f>
        <v>0</v>
      </c>
      <c r="D283" s="3">
        <f>CONTROLE_DIARIO!D284</f>
        <v>0</v>
      </c>
      <c r="E283" s="3">
        <f>CONTROLE_DIARIO!E284</f>
        <v>0</v>
      </c>
      <c r="F283" s="3">
        <f>CONTROLE_DIARIO!F284</f>
        <v>0</v>
      </c>
      <c r="G283" s="3">
        <f>CONTROLE_DIARIO!G284</f>
        <v>0</v>
      </c>
      <c r="H283" s="3">
        <f>CONTROLE_DIARIO!H284</f>
        <v>0</v>
      </c>
      <c r="I283" s="3">
        <f>CONTROLE_DIARIO!I284</f>
        <v>0</v>
      </c>
      <c r="J283" s="3" t="str">
        <f>CONTROLE_DIARIO!J284</f>
        <v/>
      </c>
      <c r="K283" s="3" t="str">
        <f>CONTROLE_DIARIO!K284</f>
        <v/>
      </c>
      <c r="L283" s="51">
        <f>CONTROLE_DIARIO!L284</f>
        <v>0</v>
      </c>
      <c r="M283" s="51">
        <f>CONTROLE_DIARIO!M284</f>
        <v>0</v>
      </c>
      <c r="N283" s="3">
        <f>CONTROLE_DIARIO!N284</f>
        <v>0</v>
      </c>
      <c r="O283" s="3" t="str">
        <f>CONTROLE_DIARIO!O284</f>
        <v/>
      </c>
      <c r="P283" s="51" t="str">
        <f>CONTROLE_DIARIO!P284</f>
        <v/>
      </c>
      <c r="Q283" s="6">
        <f t="shared" si="33"/>
        <v>0</v>
      </c>
      <c r="R283" s="54" t="str">
        <f t="shared" si="34"/>
        <v>OK</v>
      </c>
      <c r="S283" s="3" t="str">
        <f t="shared" si="35"/>
        <v>jan/yy</v>
      </c>
      <c r="T283" s="3">
        <f t="shared" si="36"/>
        <v>1</v>
      </c>
      <c r="U283" s="3">
        <f t="shared" si="37"/>
        <v>1900</v>
      </c>
      <c r="V283" s="6">
        <f t="shared" si="38"/>
        <v>0</v>
      </c>
      <c r="W283" s="3" t="str">
        <f t="shared" si="39"/>
        <v>CRÍTICO</v>
      </c>
    </row>
    <row r="284" spans="1:23" x14ac:dyDescent="0.25">
      <c r="A284" s="2">
        <f>CONTROLE_DIARIO!A285</f>
        <v>0</v>
      </c>
      <c r="B284" s="51">
        <f>CONTROLE_DIARIO!B285</f>
        <v>0</v>
      </c>
      <c r="C284" s="3">
        <f>CONTROLE_DIARIO!C285</f>
        <v>0</v>
      </c>
      <c r="D284" s="3">
        <f>CONTROLE_DIARIO!D285</f>
        <v>0</v>
      </c>
      <c r="E284" s="3">
        <f>CONTROLE_DIARIO!E285</f>
        <v>0</v>
      </c>
      <c r="F284" s="3">
        <f>CONTROLE_DIARIO!F285</f>
        <v>0</v>
      </c>
      <c r="G284" s="3">
        <f>CONTROLE_DIARIO!G285</f>
        <v>0</v>
      </c>
      <c r="H284" s="3">
        <f>CONTROLE_DIARIO!H285</f>
        <v>0</v>
      </c>
      <c r="I284" s="3">
        <f>CONTROLE_DIARIO!I285</f>
        <v>0</v>
      </c>
      <c r="J284" s="3" t="str">
        <f>CONTROLE_DIARIO!J285</f>
        <v/>
      </c>
      <c r="K284" s="3" t="str">
        <f>CONTROLE_DIARIO!K285</f>
        <v/>
      </c>
      <c r="L284" s="51">
        <f>CONTROLE_DIARIO!L285</f>
        <v>0</v>
      </c>
      <c r="M284" s="51">
        <f>CONTROLE_DIARIO!M285</f>
        <v>0</v>
      </c>
      <c r="N284" s="3">
        <f>CONTROLE_DIARIO!N285</f>
        <v>0</v>
      </c>
      <c r="O284" s="3" t="str">
        <f>CONTROLE_DIARIO!O285</f>
        <v/>
      </c>
      <c r="P284" s="51" t="str">
        <f>CONTROLE_DIARIO!P285</f>
        <v/>
      </c>
      <c r="Q284" s="6">
        <f t="shared" si="33"/>
        <v>0</v>
      </c>
      <c r="R284" s="54" t="str">
        <f t="shared" si="34"/>
        <v>OK</v>
      </c>
      <c r="S284" s="3" t="str">
        <f t="shared" si="35"/>
        <v>jan/yy</v>
      </c>
      <c r="T284" s="3">
        <f t="shared" si="36"/>
        <v>1</v>
      </c>
      <c r="U284" s="3">
        <f t="shared" si="37"/>
        <v>1900</v>
      </c>
      <c r="V284" s="6">
        <f t="shared" si="38"/>
        <v>0</v>
      </c>
      <c r="W284" s="3" t="str">
        <f t="shared" si="39"/>
        <v>CRÍTICO</v>
      </c>
    </row>
    <row r="285" spans="1:23" x14ac:dyDescent="0.25">
      <c r="A285" s="2">
        <f>CONTROLE_DIARIO!A286</f>
        <v>0</v>
      </c>
      <c r="B285" s="51">
        <f>CONTROLE_DIARIO!B286</f>
        <v>0</v>
      </c>
      <c r="C285" s="3">
        <f>CONTROLE_DIARIO!C286</f>
        <v>0</v>
      </c>
      <c r="D285" s="3">
        <f>CONTROLE_DIARIO!D286</f>
        <v>0</v>
      </c>
      <c r="E285" s="3">
        <f>CONTROLE_DIARIO!E286</f>
        <v>0</v>
      </c>
      <c r="F285" s="3">
        <f>CONTROLE_DIARIO!F286</f>
        <v>0</v>
      </c>
      <c r="G285" s="3">
        <f>CONTROLE_DIARIO!G286</f>
        <v>0</v>
      </c>
      <c r="H285" s="3">
        <f>CONTROLE_DIARIO!H286</f>
        <v>0</v>
      </c>
      <c r="I285" s="3">
        <f>CONTROLE_DIARIO!I286</f>
        <v>0</v>
      </c>
      <c r="J285" s="3" t="str">
        <f>CONTROLE_DIARIO!J286</f>
        <v/>
      </c>
      <c r="K285" s="3" t="str">
        <f>CONTROLE_DIARIO!K286</f>
        <v/>
      </c>
      <c r="L285" s="51">
        <f>CONTROLE_DIARIO!L286</f>
        <v>0</v>
      </c>
      <c r="M285" s="51">
        <f>CONTROLE_DIARIO!M286</f>
        <v>0</v>
      </c>
      <c r="N285" s="3">
        <f>CONTROLE_DIARIO!N286</f>
        <v>0</v>
      </c>
      <c r="O285" s="3" t="str">
        <f>CONTROLE_DIARIO!O286</f>
        <v/>
      </c>
      <c r="P285" s="51" t="str">
        <f>CONTROLE_DIARIO!P286</f>
        <v/>
      </c>
      <c r="Q285" s="6">
        <f t="shared" si="33"/>
        <v>0</v>
      </c>
      <c r="R285" s="54" t="str">
        <f t="shared" si="34"/>
        <v>OK</v>
      </c>
      <c r="S285" s="3" t="str">
        <f t="shared" si="35"/>
        <v>jan/yy</v>
      </c>
      <c r="T285" s="3">
        <f t="shared" si="36"/>
        <v>1</v>
      </c>
      <c r="U285" s="3">
        <f t="shared" si="37"/>
        <v>1900</v>
      </c>
      <c r="V285" s="6">
        <f t="shared" si="38"/>
        <v>0</v>
      </c>
      <c r="W285" s="3" t="str">
        <f t="shared" si="39"/>
        <v>CRÍTICO</v>
      </c>
    </row>
    <row r="286" spans="1:23" x14ac:dyDescent="0.25">
      <c r="A286" s="2">
        <f>CONTROLE_DIARIO!A287</f>
        <v>0</v>
      </c>
      <c r="B286" s="51">
        <f>CONTROLE_DIARIO!B287</f>
        <v>0</v>
      </c>
      <c r="C286" s="3">
        <f>CONTROLE_DIARIO!C287</f>
        <v>0</v>
      </c>
      <c r="D286" s="3">
        <f>CONTROLE_DIARIO!D287</f>
        <v>0</v>
      </c>
      <c r="E286" s="3">
        <f>CONTROLE_DIARIO!E287</f>
        <v>0</v>
      </c>
      <c r="F286" s="3">
        <f>CONTROLE_DIARIO!F287</f>
        <v>0</v>
      </c>
      <c r="G286" s="3">
        <f>CONTROLE_DIARIO!G287</f>
        <v>0</v>
      </c>
      <c r="H286" s="3">
        <f>CONTROLE_DIARIO!H287</f>
        <v>0</v>
      </c>
      <c r="I286" s="3">
        <f>CONTROLE_DIARIO!I287</f>
        <v>0</v>
      </c>
      <c r="J286" s="3" t="str">
        <f>CONTROLE_DIARIO!J287</f>
        <v/>
      </c>
      <c r="K286" s="3" t="str">
        <f>CONTROLE_DIARIO!K287</f>
        <v/>
      </c>
      <c r="L286" s="51">
        <f>CONTROLE_DIARIO!L287</f>
        <v>0</v>
      </c>
      <c r="M286" s="51">
        <f>CONTROLE_DIARIO!M287</f>
        <v>0</v>
      </c>
      <c r="N286" s="3">
        <f>CONTROLE_DIARIO!N287</f>
        <v>0</v>
      </c>
      <c r="O286" s="3" t="str">
        <f>CONTROLE_DIARIO!O287</f>
        <v/>
      </c>
      <c r="P286" s="51" t="str">
        <f>CONTROLE_DIARIO!P287</f>
        <v/>
      </c>
      <c r="Q286" s="6">
        <f t="shared" si="33"/>
        <v>0</v>
      </c>
      <c r="R286" s="54" t="str">
        <f t="shared" si="34"/>
        <v>OK</v>
      </c>
      <c r="S286" s="3" t="str">
        <f t="shared" si="35"/>
        <v>jan/yy</v>
      </c>
      <c r="T286" s="3">
        <f t="shared" si="36"/>
        <v>1</v>
      </c>
      <c r="U286" s="3">
        <f t="shared" si="37"/>
        <v>1900</v>
      </c>
      <c r="V286" s="6">
        <f t="shared" si="38"/>
        <v>0</v>
      </c>
      <c r="W286" s="3" t="str">
        <f t="shared" si="39"/>
        <v>CRÍTICO</v>
      </c>
    </row>
    <row r="287" spans="1:23" x14ac:dyDescent="0.25">
      <c r="A287" s="2">
        <f>CONTROLE_DIARIO!A288</f>
        <v>0</v>
      </c>
      <c r="B287" s="51">
        <f>CONTROLE_DIARIO!B288</f>
        <v>0</v>
      </c>
      <c r="C287" s="3">
        <f>CONTROLE_DIARIO!C288</f>
        <v>0</v>
      </c>
      <c r="D287" s="3">
        <f>CONTROLE_DIARIO!D288</f>
        <v>0</v>
      </c>
      <c r="E287" s="3">
        <f>CONTROLE_DIARIO!E288</f>
        <v>0</v>
      </c>
      <c r="F287" s="3">
        <f>CONTROLE_DIARIO!F288</f>
        <v>0</v>
      </c>
      <c r="G287" s="3">
        <f>CONTROLE_DIARIO!G288</f>
        <v>0</v>
      </c>
      <c r="H287" s="3">
        <f>CONTROLE_DIARIO!H288</f>
        <v>0</v>
      </c>
      <c r="I287" s="3">
        <f>CONTROLE_DIARIO!I288</f>
        <v>0</v>
      </c>
      <c r="J287" s="3" t="str">
        <f>CONTROLE_DIARIO!J288</f>
        <v/>
      </c>
      <c r="K287" s="3" t="str">
        <f>CONTROLE_DIARIO!K288</f>
        <v/>
      </c>
      <c r="L287" s="51">
        <f>CONTROLE_DIARIO!L288</f>
        <v>0</v>
      </c>
      <c r="M287" s="51">
        <f>CONTROLE_DIARIO!M288</f>
        <v>0</v>
      </c>
      <c r="N287" s="3">
        <f>CONTROLE_DIARIO!N288</f>
        <v>0</v>
      </c>
      <c r="O287" s="3" t="str">
        <f>CONTROLE_DIARIO!O288</f>
        <v/>
      </c>
      <c r="P287" s="51" t="str">
        <f>CONTROLE_DIARIO!P288</f>
        <v/>
      </c>
      <c r="Q287" s="6">
        <f t="shared" si="33"/>
        <v>0</v>
      </c>
      <c r="R287" s="54" t="str">
        <f t="shared" si="34"/>
        <v>OK</v>
      </c>
      <c r="S287" s="3" t="str">
        <f t="shared" si="35"/>
        <v>jan/yy</v>
      </c>
      <c r="T287" s="3">
        <f t="shared" si="36"/>
        <v>1</v>
      </c>
      <c r="U287" s="3">
        <f t="shared" si="37"/>
        <v>1900</v>
      </c>
      <c r="V287" s="6">
        <f t="shared" si="38"/>
        <v>0</v>
      </c>
      <c r="W287" s="3" t="str">
        <f t="shared" si="39"/>
        <v>CRÍTICO</v>
      </c>
    </row>
    <row r="288" spans="1:23" x14ac:dyDescent="0.25">
      <c r="A288" s="2">
        <f>CONTROLE_DIARIO!A289</f>
        <v>0</v>
      </c>
      <c r="B288" s="51">
        <f>CONTROLE_DIARIO!B289</f>
        <v>0</v>
      </c>
      <c r="C288" s="3">
        <f>CONTROLE_DIARIO!C289</f>
        <v>0</v>
      </c>
      <c r="D288" s="3">
        <f>CONTROLE_DIARIO!D289</f>
        <v>0</v>
      </c>
      <c r="E288" s="3">
        <f>CONTROLE_DIARIO!E289</f>
        <v>0</v>
      </c>
      <c r="F288" s="3">
        <f>CONTROLE_DIARIO!F289</f>
        <v>0</v>
      </c>
      <c r="G288" s="3">
        <f>CONTROLE_DIARIO!G289</f>
        <v>0</v>
      </c>
      <c r="H288" s="3">
        <f>CONTROLE_DIARIO!H289</f>
        <v>0</v>
      </c>
      <c r="I288" s="3">
        <f>CONTROLE_DIARIO!I289</f>
        <v>0</v>
      </c>
      <c r="J288" s="3" t="str">
        <f>CONTROLE_DIARIO!J289</f>
        <v/>
      </c>
      <c r="K288" s="3" t="str">
        <f>CONTROLE_DIARIO!K289</f>
        <v/>
      </c>
      <c r="L288" s="51">
        <f>CONTROLE_DIARIO!L289</f>
        <v>0</v>
      </c>
      <c r="M288" s="51">
        <f>CONTROLE_DIARIO!M289</f>
        <v>0</v>
      </c>
      <c r="N288" s="3">
        <f>CONTROLE_DIARIO!N289</f>
        <v>0</v>
      </c>
      <c r="O288" s="3" t="str">
        <f>CONTROLE_DIARIO!O289</f>
        <v/>
      </c>
      <c r="P288" s="51" t="str">
        <f>CONTROLE_DIARIO!P289</f>
        <v/>
      </c>
      <c r="Q288" s="6">
        <f t="shared" si="33"/>
        <v>0</v>
      </c>
      <c r="R288" s="54" t="str">
        <f t="shared" si="34"/>
        <v>OK</v>
      </c>
      <c r="S288" s="3" t="str">
        <f t="shared" si="35"/>
        <v>jan/yy</v>
      </c>
      <c r="T288" s="3">
        <f t="shared" si="36"/>
        <v>1</v>
      </c>
      <c r="U288" s="3">
        <f t="shared" si="37"/>
        <v>1900</v>
      </c>
      <c r="V288" s="6">
        <f t="shared" si="38"/>
        <v>0</v>
      </c>
      <c r="W288" s="3" t="str">
        <f t="shared" si="39"/>
        <v>CRÍTICO</v>
      </c>
    </row>
    <row r="289" spans="1:23" x14ac:dyDescent="0.25">
      <c r="A289" s="2">
        <f>CONTROLE_DIARIO!A290</f>
        <v>0</v>
      </c>
      <c r="B289" s="51">
        <f>CONTROLE_DIARIO!B290</f>
        <v>0</v>
      </c>
      <c r="C289" s="3">
        <f>CONTROLE_DIARIO!C290</f>
        <v>0</v>
      </c>
      <c r="D289" s="3">
        <f>CONTROLE_DIARIO!D290</f>
        <v>0</v>
      </c>
      <c r="E289" s="3">
        <f>CONTROLE_DIARIO!E290</f>
        <v>0</v>
      </c>
      <c r="F289" s="3">
        <f>CONTROLE_DIARIO!F290</f>
        <v>0</v>
      </c>
      <c r="G289" s="3">
        <f>CONTROLE_DIARIO!G290</f>
        <v>0</v>
      </c>
      <c r="H289" s="3">
        <f>CONTROLE_DIARIO!H290</f>
        <v>0</v>
      </c>
      <c r="I289" s="3">
        <f>CONTROLE_DIARIO!I290</f>
        <v>0</v>
      </c>
      <c r="J289" s="3" t="str">
        <f>CONTROLE_DIARIO!J290</f>
        <v/>
      </c>
      <c r="K289" s="3" t="str">
        <f>CONTROLE_DIARIO!K290</f>
        <v/>
      </c>
      <c r="L289" s="51">
        <f>CONTROLE_DIARIO!L290</f>
        <v>0</v>
      </c>
      <c r="M289" s="51">
        <f>CONTROLE_DIARIO!M290</f>
        <v>0</v>
      </c>
      <c r="N289" s="3">
        <f>CONTROLE_DIARIO!N290</f>
        <v>0</v>
      </c>
      <c r="O289" s="3" t="str">
        <f>CONTROLE_DIARIO!O290</f>
        <v/>
      </c>
      <c r="P289" s="51" t="str">
        <f>CONTROLE_DIARIO!P290</f>
        <v/>
      </c>
      <c r="Q289" s="6">
        <f t="shared" si="33"/>
        <v>0</v>
      </c>
      <c r="R289" s="54" t="str">
        <f t="shared" si="34"/>
        <v>OK</v>
      </c>
      <c r="S289" s="3" t="str">
        <f t="shared" si="35"/>
        <v>jan/yy</v>
      </c>
      <c r="T289" s="3">
        <f t="shared" si="36"/>
        <v>1</v>
      </c>
      <c r="U289" s="3">
        <f t="shared" si="37"/>
        <v>1900</v>
      </c>
      <c r="V289" s="6">
        <f t="shared" si="38"/>
        <v>0</v>
      </c>
      <c r="W289" s="3" t="str">
        <f t="shared" si="39"/>
        <v>CRÍTICO</v>
      </c>
    </row>
    <row r="290" spans="1:23" x14ac:dyDescent="0.25">
      <c r="A290" s="2">
        <f>CONTROLE_DIARIO!A291</f>
        <v>0</v>
      </c>
      <c r="B290" s="51">
        <f>CONTROLE_DIARIO!B291</f>
        <v>0</v>
      </c>
      <c r="C290" s="3">
        <f>CONTROLE_DIARIO!C291</f>
        <v>0</v>
      </c>
      <c r="D290" s="3">
        <f>CONTROLE_DIARIO!D291</f>
        <v>0</v>
      </c>
      <c r="E290" s="3">
        <f>CONTROLE_DIARIO!E291</f>
        <v>0</v>
      </c>
      <c r="F290" s="3">
        <f>CONTROLE_DIARIO!F291</f>
        <v>0</v>
      </c>
      <c r="G290" s="3">
        <f>CONTROLE_DIARIO!G291</f>
        <v>0</v>
      </c>
      <c r="H290" s="3">
        <f>CONTROLE_DIARIO!H291</f>
        <v>0</v>
      </c>
      <c r="I290" s="3">
        <f>CONTROLE_DIARIO!I291</f>
        <v>0</v>
      </c>
      <c r="J290" s="3" t="str">
        <f>CONTROLE_DIARIO!J291</f>
        <v/>
      </c>
      <c r="K290" s="3" t="str">
        <f>CONTROLE_DIARIO!K291</f>
        <v/>
      </c>
      <c r="L290" s="51">
        <f>CONTROLE_DIARIO!L291</f>
        <v>0</v>
      </c>
      <c r="M290" s="51">
        <f>CONTROLE_DIARIO!M291</f>
        <v>0</v>
      </c>
      <c r="N290" s="3">
        <f>CONTROLE_DIARIO!N291</f>
        <v>0</v>
      </c>
      <c r="O290" s="3" t="str">
        <f>CONTROLE_DIARIO!O291</f>
        <v/>
      </c>
      <c r="P290" s="51" t="str">
        <f>CONTROLE_DIARIO!P291</f>
        <v/>
      </c>
      <c r="Q290" s="6">
        <f t="shared" si="33"/>
        <v>0</v>
      </c>
      <c r="R290" s="54" t="str">
        <f t="shared" si="34"/>
        <v>OK</v>
      </c>
      <c r="S290" s="3" t="str">
        <f t="shared" si="35"/>
        <v>jan/yy</v>
      </c>
      <c r="T290" s="3">
        <f t="shared" si="36"/>
        <v>1</v>
      </c>
      <c r="U290" s="3">
        <f t="shared" si="37"/>
        <v>1900</v>
      </c>
      <c r="V290" s="6">
        <f t="shared" si="38"/>
        <v>0</v>
      </c>
      <c r="W290" s="3" t="str">
        <f t="shared" si="39"/>
        <v>CRÍTICO</v>
      </c>
    </row>
    <row r="291" spans="1:23" x14ac:dyDescent="0.25">
      <c r="A291" s="2">
        <f>CONTROLE_DIARIO!A292</f>
        <v>0</v>
      </c>
      <c r="B291" s="51">
        <f>CONTROLE_DIARIO!B292</f>
        <v>0</v>
      </c>
      <c r="C291" s="3">
        <f>CONTROLE_DIARIO!C292</f>
        <v>0</v>
      </c>
      <c r="D291" s="3">
        <f>CONTROLE_DIARIO!D292</f>
        <v>0</v>
      </c>
      <c r="E291" s="3">
        <f>CONTROLE_DIARIO!E292</f>
        <v>0</v>
      </c>
      <c r="F291" s="3">
        <f>CONTROLE_DIARIO!F292</f>
        <v>0</v>
      </c>
      <c r="G291" s="3">
        <f>CONTROLE_DIARIO!G292</f>
        <v>0</v>
      </c>
      <c r="H291" s="3">
        <f>CONTROLE_DIARIO!H292</f>
        <v>0</v>
      </c>
      <c r="I291" s="3">
        <f>CONTROLE_DIARIO!I292</f>
        <v>0</v>
      </c>
      <c r="J291" s="3" t="str">
        <f>CONTROLE_DIARIO!J292</f>
        <v/>
      </c>
      <c r="K291" s="3" t="str">
        <f>CONTROLE_DIARIO!K292</f>
        <v/>
      </c>
      <c r="L291" s="51">
        <f>CONTROLE_DIARIO!L292</f>
        <v>0</v>
      </c>
      <c r="M291" s="51">
        <f>CONTROLE_DIARIO!M292</f>
        <v>0</v>
      </c>
      <c r="N291" s="3">
        <f>CONTROLE_DIARIO!N292</f>
        <v>0</v>
      </c>
      <c r="O291" s="3" t="str">
        <f>CONTROLE_DIARIO!O292</f>
        <v/>
      </c>
      <c r="P291" s="51" t="str">
        <f>CONTROLE_DIARIO!P292</f>
        <v/>
      </c>
      <c r="Q291" s="6">
        <f t="shared" si="33"/>
        <v>0</v>
      </c>
      <c r="R291" s="54" t="str">
        <f t="shared" si="34"/>
        <v>OK</v>
      </c>
      <c r="S291" s="3" t="str">
        <f t="shared" si="35"/>
        <v>jan/yy</v>
      </c>
      <c r="T291" s="3">
        <f t="shared" si="36"/>
        <v>1</v>
      </c>
      <c r="U291" s="3">
        <f t="shared" si="37"/>
        <v>1900</v>
      </c>
      <c r="V291" s="6">
        <f t="shared" si="38"/>
        <v>0</v>
      </c>
      <c r="W291" s="3" t="str">
        <f t="shared" si="39"/>
        <v>CRÍTICO</v>
      </c>
    </row>
    <row r="292" spans="1:23" x14ac:dyDescent="0.25">
      <c r="A292" s="2">
        <f>CONTROLE_DIARIO!A293</f>
        <v>0</v>
      </c>
      <c r="B292" s="51">
        <f>CONTROLE_DIARIO!B293</f>
        <v>0</v>
      </c>
      <c r="C292" s="3">
        <f>CONTROLE_DIARIO!C293</f>
        <v>0</v>
      </c>
      <c r="D292" s="3">
        <f>CONTROLE_DIARIO!D293</f>
        <v>0</v>
      </c>
      <c r="E292" s="3">
        <f>CONTROLE_DIARIO!E293</f>
        <v>0</v>
      </c>
      <c r="F292" s="3">
        <f>CONTROLE_DIARIO!F293</f>
        <v>0</v>
      </c>
      <c r="G292" s="3">
        <f>CONTROLE_DIARIO!G293</f>
        <v>0</v>
      </c>
      <c r="H292" s="3">
        <f>CONTROLE_DIARIO!H293</f>
        <v>0</v>
      </c>
      <c r="I292" s="3">
        <f>CONTROLE_DIARIO!I293</f>
        <v>0</v>
      </c>
      <c r="J292" s="3" t="str">
        <f>CONTROLE_DIARIO!J293</f>
        <v/>
      </c>
      <c r="K292" s="3" t="str">
        <f>CONTROLE_DIARIO!K293</f>
        <v/>
      </c>
      <c r="L292" s="51">
        <f>CONTROLE_DIARIO!L293</f>
        <v>0</v>
      </c>
      <c r="M292" s="51">
        <f>CONTROLE_DIARIO!M293</f>
        <v>0</v>
      </c>
      <c r="N292" s="3">
        <f>CONTROLE_DIARIO!N293</f>
        <v>0</v>
      </c>
      <c r="O292" s="3" t="str">
        <f>CONTROLE_DIARIO!O293</f>
        <v/>
      </c>
      <c r="P292" s="51" t="str">
        <f>CONTROLE_DIARIO!P293</f>
        <v/>
      </c>
      <c r="Q292" s="6">
        <f t="shared" si="33"/>
        <v>0</v>
      </c>
      <c r="R292" s="54" t="str">
        <f t="shared" si="34"/>
        <v>OK</v>
      </c>
      <c r="S292" s="3" t="str">
        <f t="shared" si="35"/>
        <v>jan/yy</v>
      </c>
      <c r="T292" s="3">
        <f t="shared" si="36"/>
        <v>1</v>
      </c>
      <c r="U292" s="3">
        <f t="shared" si="37"/>
        <v>1900</v>
      </c>
      <c r="V292" s="6">
        <f t="shared" si="38"/>
        <v>0</v>
      </c>
      <c r="W292" s="3" t="str">
        <f t="shared" si="39"/>
        <v>CRÍTICO</v>
      </c>
    </row>
    <row r="293" spans="1:23" x14ac:dyDescent="0.25">
      <c r="A293" s="2">
        <f>CONTROLE_DIARIO!A294</f>
        <v>0</v>
      </c>
      <c r="B293" s="51">
        <f>CONTROLE_DIARIO!B294</f>
        <v>0</v>
      </c>
      <c r="C293" s="3">
        <f>CONTROLE_DIARIO!C294</f>
        <v>0</v>
      </c>
      <c r="D293" s="3">
        <f>CONTROLE_DIARIO!D294</f>
        <v>0</v>
      </c>
      <c r="E293" s="3">
        <f>CONTROLE_DIARIO!E294</f>
        <v>0</v>
      </c>
      <c r="F293" s="3">
        <f>CONTROLE_DIARIO!F294</f>
        <v>0</v>
      </c>
      <c r="G293" s="3">
        <f>CONTROLE_DIARIO!G294</f>
        <v>0</v>
      </c>
      <c r="H293" s="3">
        <f>CONTROLE_DIARIO!H294</f>
        <v>0</v>
      </c>
      <c r="I293" s="3">
        <f>CONTROLE_DIARIO!I294</f>
        <v>0</v>
      </c>
      <c r="J293" s="3" t="str">
        <f>CONTROLE_DIARIO!J294</f>
        <v/>
      </c>
      <c r="K293" s="3" t="str">
        <f>CONTROLE_DIARIO!K294</f>
        <v/>
      </c>
      <c r="L293" s="51">
        <f>CONTROLE_DIARIO!L294</f>
        <v>0</v>
      </c>
      <c r="M293" s="51">
        <f>CONTROLE_DIARIO!M294</f>
        <v>0</v>
      </c>
      <c r="N293" s="3">
        <f>CONTROLE_DIARIO!N294</f>
        <v>0</v>
      </c>
      <c r="O293" s="3" t="str">
        <f>CONTROLE_DIARIO!O294</f>
        <v/>
      </c>
      <c r="P293" s="51" t="str">
        <f>CONTROLE_DIARIO!P294</f>
        <v/>
      </c>
      <c r="Q293" s="6">
        <f t="shared" si="33"/>
        <v>0</v>
      </c>
      <c r="R293" s="54" t="str">
        <f t="shared" si="34"/>
        <v>OK</v>
      </c>
      <c r="S293" s="3" t="str">
        <f t="shared" si="35"/>
        <v>jan/yy</v>
      </c>
      <c r="T293" s="3">
        <f t="shared" si="36"/>
        <v>1</v>
      </c>
      <c r="U293" s="3">
        <f t="shared" si="37"/>
        <v>1900</v>
      </c>
      <c r="V293" s="6">
        <f t="shared" si="38"/>
        <v>0</v>
      </c>
      <c r="W293" s="3" t="str">
        <f t="shared" si="39"/>
        <v>CRÍTICO</v>
      </c>
    </row>
    <row r="294" spans="1:23" x14ac:dyDescent="0.25">
      <c r="A294" s="2">
        <f>CONTROLE_DIARIO!A295</f>
        <v>0</v>
      </c>
      <c r="B294" s="51">
        <f>CONTROLE_DIARIO!B295</f>
        <v>0</v>
      </c>
      <c r="C294" s="3">
        <f>CONTROLE_DIARIO!C295</f>
        <v>0</v>
      </c>
      <c r="D294" s="3">
        <f>CONTROLE_DIARIO!D295</f>
        <v>0</v>
      </c>
      <c r="E294" s="3">
        <f>CONTROLE_DIARIO!E295</f>
        <v>0</v>
      </c>
      <c r="F294" s="3">
        <f>CONTROLE_DIARIO!F295</f>
        <v>0</v>
      </c>
      <c r="G294" s="3">
        <f>CONTROLE_DIARIO!G295</f>
        <v>0</v>
      </c>
      <c r="H294" s="3">
        <f>CONTROLE_DIARIO!H295</f>
        <v>0</v>
      </c>
      <c r="I294" s="3">
        <f>CONTROLE_DIARIO!I295</f>
        <v>0</v>
      </c>
      <c r="J294" s="3" t="str">
        <f>CONTROLE_DIARIO!J295</f>
        <v/>
      </c>
      <c r="K294" s="3" t="str">
        <f>CONTROLE_DIARIO!K295</f>
        <v/>
      </c>
      <c r="L294" s="51">
        <f>CONTROLE_DIARIO!L295</f>
        <v>0</v>
      </c>
      <c r="M294" s="51">
        <f>CONTROLE_DIARIO!M295</f>
        <v>0</v>
      </c>
      <c r="N294" s="3">
        <f>CONTROLE_DIARIO!N295</f>
        <v>0</v>
      </c>
      <c r="O294" s="3" t="str">
        <f>CONTROLE_DIARIO!O295</f>
        <v/>
      </c>
      <c r="P294" s="51" t="str">
        <f>CONTROLE_DIARIO!P295</f>
        <v/>
      </c>
      <c r="Q294" s="6">
        <f t="shared" si="33"/>
        <v>0</v>
      </c>
      <c r="R294" s="54" t="str">
        <f t="shared" si="34"/>
        <v>OK</v>
      </c>
      <c r="S294" s="3" t="str">
        <f t="shared" si="35"/>
        <v>jan/yy</v>
      </c>
      <c r="T294" s="3">
        <f t="shared" si="36"/>
        <v>1</v>
      </c>
      <c r="U294" s="3">
        <f t="shared" si="37"/>
        <v>1900</v>
      </c>
      <c r="V294" s="6">
        <f t="shared" si="38"/>
        <v>0</v>
      </c>
      <c r="W294" s="3" t="str">
        <f t="shared" si="39"/>
        <v>CRÍTICO</v>
      </c>
    </row>
    <row r="295" spans="1:23" x14ac:dyDescent="0.25">
      <c r="A295" s="2">
        <f>CONTROLE_DIARIO!A296</f>
        <v>0</v>
      </c>
      <c r="B295" s="51">
        <f>CONTROLE_DIARIO!B296</f>
        <v>0</v>
      </c>
      <c r="C295" s="3">
        <f>CONTROLE_DIARIO!C296</f>
        <v>0</v>
      </c>
      <c r="D295" s="3">
        <f>CONTROLE_DIARIO!D296</f>
        <v>0</v>
      </c>
      <c r="E295" s="3">
        <f>CONTROLE_DIARIO!E296</f>
        <v>0</v>
      </c>
      <c r="F295" s="3">
        <f>CONTROLE_DIARIO!F296</f>
        <v>0</v>
      </c>
      <c r="G295" s="3">
        <f>CONTROLE_DIARIO!G296</f>
        <v>0</v>
      </c>
      <c r="H295" s="3">
        <f>CONTROLE_DIARIO!H296</f>
        <v>0</v>
      </c>
      <c r="I295" s="3">
        <f>CONTROLE_DIARIO!I296</f>
        <v>0</v>
      </c>
      <c r="J295" s="3" t="str">
        <f>CONTROLE_DIARIO!J296</f>
        <v/>
      </c>
      <c r="K295" s="3" t="str">
        <f>CONTROLE_DIARIO!K296</f>
        <v/>
      </c>
      <c r="L295" s="51">
        <f>CONTROLE_DIARIO!L296</f>
        <v>0</v>
      </c>
      <c r="M295" s="51">
        <f>CONTROLE_DIARIO!M296</f>
        <v>0</v>
      </c>
      <c r="N295" s="3">
        <f>CONTROLE_DIARIO!N296</f>
        <v>0</v>
      </c>
      <c r="O295" s="3" t="str">
        <f>CONTROLE_DIARIO!O296</f>
        <v/>
      </c>
      <c r="P295" s="51" t="str">
        <f>CONTROLE_DIARIO!P296</f>
        <v/>
      </c>
      <c r="Q295" s="6">
        <f t="shared" si="33"/>
        <v>0</v>
      </c>
      <c r="R295" s="54" t="str">
        <f t="shared" si="34"/>
        <v>OK</v>
      </c>
      <c r="S295" s="3" t="str">
        <f t="shared" si="35"/>
        <v>jan/yy</v>
      </c>
      <c r="T295" s="3">
        <f t="shared" si="36"/>
        <v>1</v>
      </c>
      <c r="U295" s="3">
        <f t="shared" si="37"/>
        <v>1900</v>
      </c>
      <c r="V295" s="6">
        <f t="shared" si="38"/>
        <v>0</v>
      </c>
      <c r="W295" s="3" t="str">
        <f t="shared" si="39"/>
        <v>CRÍTICO</v>
      </c>
    </row>
    <row r="296" spans="1:23" x14ac:dyDescent="0.25">
      <c r="A296" s="2">
        <f>CONTROLE_DIARIO!A297</f>
        <v>0</v>
      </c>
      <c r="B296" s="51">
        <f>CONTROLE_DIARIO!B297</f>
        <v>0</v>
      </c>
      <c r="C296" s="3">
        <f>CONTROLE_DIARIO!C297</f>
        <v>0</v>
      </c>
      <c r="D296" s="3">
        <f>CONTROLE_DIARIO!D297</f>
        <v>0</v>
      </c>
      <c r="E296" s="3">
        <f>CONTROLE_DIARIO!E297</f>
        <v>0</v>
      </c>
      <c r="F296" s="3">
        <f>CONTROLE_DIARIO!F297</f>
        <v>0</v>
      </c>
      <c r="G296" s="3">
        <f>CONTROLE_DIARIO!G297</f>
        <v>0</v>
      </c>
      <c r="H296" s="3">
        <f>CONTROLE_DIARIO!H297</f>
        <v>0</v>
      </c>
      <c r="I296" s="3">
        <f>CONTROLE_DIARIO!I297</f>
        <v>0</v>
      </c>
      <c r="J296" s="3" t="str">
        <f>CONTROLE_DIARIO!J297</f>
        <v/>
      </c>
      <c r="K296" s="3" t="str">
        <f>CONTROLE_DIARIO!K297</f>
        <v/>
      </c>
      <c r="L296" s="51">
        <f>CONTROLE_DIARIO!L297</f>
        <v>0</v>
      </c>
      <c r="M296" s="51">
        <f>CONTROLE_DIARIO!M297</f>
        <v>0</v>
      </c>
      <c r="N296" s="3">
        <f>CONTROLE_DIARIO!N297</f>
        <v>0</v>
      </c>
      <c r="O296" s="3" t="str">
        <f>CONTROLE_DIARIO!O297</f>
        <v/>
      </c>
      <c r="P296" s="51" t="str">
        <f>CONTROLE_DIARIO!P297</f>
        <v/>
      </c>
      <c r="Q296" s="6">
        <f t="shared" si="33"/>
        <v>0</v>
      </c>
      <c r="R296" s="54" t="str">
        <f t="shared" si="34"/>
        <v>OK</v>
      </c>
      <c r="S296" s="3" t="str">
        <f t="shared" si="35"/>
        <v>jan/yy</v>
      </c>
      <c r="T296" s="3">
        <f t="shared" si="36"/>
        <v>1</v>
      </c>
      <c r="U296" s="3">
        <f t="shared" si="37"/>
        <v>1900</v>
      </c>
      <c r="V296" s="6">
        <f t="shared" si="38"/>
        <v>0</v>
      </c>
      <c r="W296" s="3" t="str">
        <f t="shared" si="39"/>
        <v>CRÍTICO</v>
      </c>
    </row>
    <row r="297" spans="1:23" x14ac:dyDescent="0.25">
      <c r="A297" s="2">
        <f>CONTROLE_DIARIO!A298</f>
        <v>0</v>
      </c>
      <c r="B297" s="51">
        <f>CONTROLE_DIARIO!B298</f>
        <v>0</v>
      </c>
      <c r="C297" s="3">
        <f>CONTROLE_DIARIO!C298</f>
        <v>0</v>
      </c>
      <c r="D297" s="3">
        <f>CONTROLE_DIARIO!D298</f>
        <v>0</v>
      </c>
      <c r="E297" s="3">
        <f>CONTROLE_DIARIO!E298</f>
        <v>0</v>
      </c>
      <c r="F297" s="3">
        <f>CONTROLE_DIARIO!F298</f>
        <v>0</v>
      </c>
      <c r="G297" s="3">
        <f>CONTROLE_DIARIO!G298</f>
        <v>0</v>
      </c>
      <c r="H297" s="3">
        <f>CONTROLE_DIARIO!H298</f>
        <v>0</v>
      </c>
      <c r="I297" s="3">
        <f>CONTROLE_DIARIO!I298</f>
        <v>0</v>
      </c>
      <c r="J297" s="3" t="str">
        <f>CONTROLE_DIARIO!J298</f>
        <v/>
      </c>
      <c r="K297" s="3" t="str">
        <f>CONTROLE_DIARIO!K298</f>
        <v/>
      </c>
      <c r="L297" s="51">
        <f>CONTROLE_DIARIO!L298</f>
        <v>0</v>
      </c>
      <c r="M297" s="51">
        <f>CONTROLE_DIARIO!M298</f>
        <v>0</v>
      </c>
      <c r="N297" s="3">
        <f>CONTROLE_DIARIO!N298</f>
        <v>0</v>
      </c>
      <c r="O297" s="3" t="str">
        <f>CONTROLE_DIARIO!O298</f>
        <v/>
      </c>
      <c r="P297" s="51" t="str">
        <f>CONTROLE_DIARIO!P298</f>
        <v/>
      </c>
      <c r="Q297" s="6">
        <f t="shared" si="33"/>
        <v>0</v>
      </c>
      <c r="R297" s="54" t="str">
        <f t="shared" si="34"/>
        <v>OK</v>
      </c>
      <c r="S297" s="3" t="str">
        <f t="shared" si="35"/>
        <v>jan/yy</v>
      </c>
      <c r="T297" s="3">
        <f t="shared" si="36"/>
        <v>1</v>
      </c>
      <c r="U297" s="3">
        <f t="shared" si="37"/>
        <v>1900</v>
      </c>
      <c r="V297" s="6">
        <f t="shared" si="38"/>
        <v>0</v>
      </c>
      <c r="W297" s="3" t="str">
        <f t="shared" si="39"/>
        <v>CRÍTICO</v>
      </c>
    </row>
    <row r="298" spans="1:23" x14ac:dyDescent="0.25">
      <c r="A298" s="2">
        <f>CONTROLE_DIARIO!A299</f>
        <v>0</v>
      </c>
      <c r="B298" s="51">
        <f>CONTROLE_DIARIO!B299</f>
        <v>0</v>
      </c>
      <c r="C298" s="3">
        <f>CONTROLE_DIARIO!C299</f>
        <v>0</v>
      </c>
      <c r="D298" s="3">
        <f>CONTROLE_DIARIO!D299</f>
        <v>0</v>
      </c>
      <c r="E298" s="3">
        <f>CONTROLE_DIARIO!E299</f>
        <v>0</v>
      </c>
      <c r="F298" s="3">
        <f>CONTROLE_DIARIO!F299</f>
        <v>0</v>
      </c>
      <c r="G298" s="3">
        <f>CONTROLE_DIARIO!G299</f>
        <v>0</v>
      </c>
      <c r="H298" s="3">
        <f>CONTROLE_DIARIO!H299</f>
        <v>0</v>
      </c>
      <c r="I298" s="3">
        <f>CONTROLE_DIARIO!I299</f>
        <v>0</v>
      </c>
      <c r="J298" s="3" t="str">
        <f>CONTROLE_DIARIO!J299</f>
        <v/>
      </c>
      <c r="K298" s="3" t="str">
        <f>CONTROLE_DIARIO!K299</f>
        <v/>
      </c>
      <c r="L298" s="51">
        <f>CONTROLE_DIARIO!L299</f>
        <v>0</v>
      </c>
      <c r="M298" s="51">
        <f>CONTROLE_DIARIO!M299</f>
        <v>0</v>
      </c>
      <c r="N298" s="3">
        <f>CONTROLE_DIARIO!N299</f>
        <v>0</v>
      </c>
      <c r="O298" s="3" t="str">
        <f>CONTROLE_DIARIO!O299</f>
        <v/>
      </c>
      <c r="P298" s="51" t="str">
        <f>CONTROLE_DIARIO!P299</f>
        <v/>
      </c>
      <c r="Q298" s="6">
        <f t="shared" si="33"/>
        <v>0</v>
      </c>
      <c r="R298" s="54" t="str">
        <f t="shared" si="34"/>
        <v>OK</v>
      </c>
      <c r="S298" s="3" t="str">
        <f t="shared" si="35"/>
        <v>jan/yy</v>
      </c>
      <c r="T298" s="3">
        <f t="shared" si="36"/>
        <v>1</v>
      </c>
      <c r="U298" s="3">
        <f t="shared" si="37"/>
        <v>1900</v>
      </c>
      <c r="V298" s="6">
        <f t="shared" si="38"/>
        <v>0</v>
      </c>
      <c r="W298" s="3" t="str">
        <f t="shared" si="39"/>
        <v>CRÍTICO</v>
      </c>
    </row>
    <row r="299" spans="1:23" x14ac:dyDescent="0.25">
      <c r="A299" s="2">
        <f>CONTROLE_DIARIO!A300</f>
        <v>0</v>
      </c>
      <c r="B299" s="51">
        <f>CONTROLE_DIARIO!B300</f>
        <v>0</v>
      </c>
      <c r="C299" s="3">
        <f>CONTROLE_DIARIO!C300</f>
        <v>0</v>
      </c>
      <c r="D299" s="3">
        <f>CONTROLE_DIARIO!D300</f>
        <v>0</v>
      </c>
      <c r="E299" s="3">
        <f>CONTROLE_DIARIO!E300</f>
        <v>0</v>
      </c>
      <c r="F299" s="3">
        <f>CONTROLE_DIARIO!F300</f>
        <v>0</v>
      </c>
      <c r="G299" s="3">
        <f>CONTROLE_DIARIO!G300</f>
        <v>0</v>
      </c>
      <c r="H299" s="3">
        <f>CONTROLE_DIARIO!H300</f>
        <v>0</v>
      </c>
      <c r="I299" s="3">
        <f>CONTROLE_DIARIO!I300</f>
        <v>0</v>
      </c>
      <c r="J299" s="3" t="str">
        <f>CONTROLE_DIARIO!J300</f>
        <v/>
      </c>
      <c r="K299" s="3" t="str">
        <f>CONTROLE_DIARIO!K300</f>
        <v/>
      </c>
      <c r="L299" s="51">
        <f>CONTROLE_DIARIO!L300</f>
        <v>0</v>
      </c>
      <c r="M299" s="51">
        <f>CONTROLE_DIARIO!M300</f>
        <v>0</v>
      </c>
      <c r="N299" s="3">
        <f>CONTROLE_DIARIO!N300</f>
        <v>0</v>
      </c>
      <c r="O299" s="3" t="str">
        <f>CONTROLE_DIARIO!O300</f>
        <v/>
      </c>
      <c r="P299" s="51" t="str">
        <f>CONTROLE_DIARIO!P300</f>
        <v/>
      </c>
      <c r="Q299" s="6">
        <f t="shared" si="33"/>
        <v>0</v>
      </c>
      <c r="R299" s="54" t="str">
        <f t="shared" si="34"/>
        <v>OK</v>
      </c>
      <c r="S299" s="3" t="str">
        <f t="shared" si="35"/>
        <v>jan/yy</v>
      </c>
      <c r="T299" s="3">
        <f t="shared" si="36"/>
        <v>1</v>
      </c>
      <c r="U299" s="3">
        <f t="shared" si="37"/>
        <v>1900</v>
      </c>
      <c r="V299" s="6">
        <f t="shared" si="38"/>
        <v>0</v>
      </c>
      <c r="W299" s="3" t="str">
        <f t="shared" si="39"/>
        <v>CRÍTICO</v>
      </c>
    </row>
    <row r="300" spans="1:23" x14ac:dyDescent="0.25">
      <c r="A300" s="2">
        <f>CONTROLE_DIARIO!A301</f>
        <v>0</v>
      </c>
      <c r="B300" s="51">
        <f>CONTROLE_DIARIO!B301</f>
        <v>0</v>
      </c>
      <c r="C300" s="3">
        <f>CONTROLE_DIARIO!C301</f>
        <v>0</v>
      </c>
      <c r="D300" s="3">
        <f>CONTROLE_DIARIO!D301</f>
        <v>0</v>
      </c>
      <c r="E300" s="3">
        <f>CONTROLE_DIARIO!E301</f>
        <v>0</v>
      </c>
      <c r="F300" s="3">
        <f>CONTROLE_DIARIO!F301</f>
        <v>0</v>
      </c>
      <c r="G300" s="3">
        <f>CONTROLE_DIARIO!G301</f>
        <v>0</v>
      </c>
      <c r="H300" s="3">
        <f>CONTROLE_DIARIO!H301</f>
        <v>0</v>
      </c>
      <c r="I300" s="3">
        <f>CONTROLE_DIARIO!I301</f>
        <v>0</v>
      </c>
      <c r="J300" s="3" t="str">
        <f>CONTROLE_DIARIO!J301</f>
        <v/>
      </c>
      <c r="K300" s="3" t="str">
        <f>CONTROLE_DIARIO!K301</f>
        <v/>
      </c>
      <c r="L300" s="51">
        <f>CONTROLE_DIARIO!L301</f>
        <v>0</v>
      </c>
      <c r="M300" s="51">
        <f>CONTROLE_DIARIO!M301</f>
        <v>0</v>
      </c>
      <c r="N300" s="3">
        <f>CONTROLE_DIARIO!N301</f>
        <v>0</v>
      </c>
      <c r="O300" s="3" t="str">
        <f>CONTROLE_DIARIO!O301</f>
        <v/>
      </c>
      <c r="P300" s="51" t="str">
        <f>CONTROLE_DIARIO!P301</f>
        <v/>
      </c>
      <c r="Q300" s="6">
        <f t="shared" si="33"/>
        <v>0</v>
      </c>
      <c r="R300" s="54" t="str">
        <f t="shared" si="34"/>
        <v>OK</v>
      </c>
      <c r="S300" s="3" t="str">
        <f t="shared" si="35"/>
        <v>jan/yy</v>
      </c>
      <c r="T300" s="3">
        <f t="shared" si="36"/>
        <v>1</v>
      </c>
      <c r="U300" s="3">
        <f t="shared" si="37"/>
        <v>1900</v>
      </c>
      <c r="V300" s="6">
        <f t="shared" si="38"/>
        <v>0</v>
      </c>
      <c r="W300" s="3" t="str">
        <f t="shared" si="39"/>
        <v>CRÍTICO</v>
      </c>
    </row>
    <row r="301" spans="1:23" x14ac:dyDescent="0.25">
      <c r="A301" s="2">
        <f>CONTROLE_DIARIO!A302</f>
        <v>0</v>
      </c>
      <c r="B301" s="51">
        <f>CONTROLE_DIARIO!B302</f>
        <v>0</v>
      </c>
      <c r="C301" s="3">
        <f>CONTROLE_DIARIO!C302</f>
        <v>0</v>
      </c>
      <c r="D301" s="3">
        <f>CONTROLE_DIARIO!D302</f>
        <v>0</v>
      </c>
      <c r="E301" s="3">
        <f>CONTROLE_DIARIO!E302</f>
        <v>0</v>
      </c>
      <c r="F301" s="3">
        <f>CONTROLE_DIARIO!F302</f>
        <v>0</v>
      </c>
      <c r="G301" s="3">
        <f>CONTROLE_DIARIO!G302</f>
        <v>0</v>
      </c>
      <c r="H301" s="3">
        <f>CONTROLE_DIARIO!H302</f>
        <v>0</v>
      </c>
      <c r="I301" s="3">
        <f>CONTROLE_DIARIO!I302</f>
        <v>0</v>
      </c>
      <c r="J301" s="3" t="str">
        <f>CONTROLE_DIARIO!J302</f>
        <v/>
      </c>
      <c r="K301" s="3" t="str">
        <f>CONTROLE_DIARIO!K302</f>
        <v/>
      </c>
      <c r="L301" s="51">
        <f>CONTROLE_DIARIO!L302</f>
        <v>0</v>
      </c>
      <c r="M301" s="51">
        <f>CONTROLE_DIARIO!M302</f>
        <v>0</v>
      </c>
      <c r="N301" s="3">
        <f>CONTROLE_DIARIO!N302</f>
        <v>0</v>
      </c>
      <c r="O301" s="3" t="str">
        <f>CONTROLE_DIARIO!O302</f>
        <v/>
      </c>
      <c r="P301" s="51" t="str">
        <f>CONTROLE_DIARIO!P302</f>
        <v/>
      </c>
      <c r="Q301" s="6">
        <f t="shared" si="33"/>
        <v>0</v>
      </c>
      <c r="R301" s="54" t="str">
        <f t="shared" si="34"/>
        <v>OK</v>
      </c>
      <c r="S301" s="3" t="str">
        <f t="shared" si="35"/>
        <v>jan/yy</v>
      </c>
      <c r="T301" s="3">
        <f t="shared" si="36"/>
        <v>1</v>
      </c>
      <c r="U301" s="3">
        <f t="shared" si="37"/>
        <v>1900</v>
      </c>
      <c r="V301" s="6">
        <f t="shared" si="38"/>
        <v>0</v>
      </c>
      <c r="W301" s="3" t="str">
        <f t="shared" si="39"/>
        <v>CRÍTICO</v>
      </c>
    </row>
    <row r="302" spans="1:23" x14ac:dyDescent="0.25">
      <c r="A302" s="2">
        <f>CONTROLE_DIARIO!A303</f>
        <v>0</v>
      </c>
      <c r="B302" s="51">
        <f>CONTROLE_DIARIO!B303</f>
        <v>0</v>
      </c>
      <c r="C302" s="3">
        <f>CONTROLE_DIARIO!C303</f>
        <v>0</v>
      </c>
      <c r="D302" s="3">
        <f>CONTROLE_DIARIO!D303</f>
        <v>0</v>
      </c>
      <c r="E302" s="3">
        <f>CONTROLE_DIARIO!E303</f>
        <v>0</v>
      </c>
      <c r="F302" s="3">
        <f>CONTROLE_DIARIO!F303</f>
        <v>0</v>
      </c>
      <c r="G302" s="3">
        <f>CONTROLE_DIARIO!G303</f>
        <v>0</v>
      </c>
      <c r="H302" s="3">
        <f>CONTROLE_DIARIO!H303</f>
        <v>0</v>
      </c>
      <c r="I302" s="3">
        <f>CONTROLE_DIARIO!I303</f>
        <v>0</v>
      </c>
      <c r="J302" s="3" t="str">
        <f>CONTROLE_DIARIO!J303</f>
        <v/>
      </c>
      <c r="K302" s="3" t="str">
        <f>CONTROLE_DIARIO!K303</f>
        <v/>
      </c>
      <c r="L302" s="51">
        <f>CONTROLE_DIARIO!L303</f>
        <v>0</v>
      </c>
      <c r="M302" s="51">
        <f>CONTROLE_DIARIO!M303</f>
        <v>0</v>
      </c>
      <c r="N302" s="3">
        <f>CONTROLE_DIARIO!N303</f>
        <v>0</v>
      </c>
      <c r="O302" s="3" t="str">
        <f>CONTROLE_DIARIO!O303</f>
        <v/>
      </c>
      <c r="P302" s="51" t="str">
        <f>CONTROLE_DIARIO!P303</f>
        <v/>
      </c>
      <c r="Q302" s="6">
        <f t="shared" si="33"/>
        <v>0</v>
      </c>
      <c r="R302" s="54" t="str">
        <f t="shared" si="34"/>
        <v>OK</v>
      </c>
      <c r="S302" s="3" t="str">
        <f t="shared" si="35"/>
        <v>jan/yy</v>
      </c>
      <c r="T302" s="3">
        <f t="shared" si="36"/>
        <v>1</v>
      </c>
      <c r="U302" s="3">
        <f t="shared" si="37"/>
        <v>1900</v>
      </c>
      <c r="V302" s="6">
        <f t="shared" si="38"/>
        <v>0</v>
      </c>
      <c r="W302" s="3" t="str">
        <f t="shared" si="39"/>
        <v>CRÍTICO</v>
      </c>
    </row>
    <row r="303" spans="1:23" x14ac:dyDescent="0.25">
      <c r="A303" s="2">
        <f>CONTROLE_DIARIO!A304</f>
        <v>0</v>
      </c>
      <c r="B303" s="51">
        <f>CONTROLE_DIARIO!B304</f>
        <v>0</v>
      </c>
      <c r="C303" s="3">
        <f>CONTROLE_DIARIO!C304</f>
        <v>0</v>
      </c>
      <c r="D303" s="3">
        <f>CONTROLE_DIARIO!D304</f>
        <v>0</v>
      </c>
      <c r="E303" s="3">
        <f>CONTROLE_DIARIO!E304</f>
        <v>0</v>
      </c>
      <c r="F303" s="3">
        <f>CONTROLE_DIARIO!F304</f>
        <v>0</v>
      </c>
      <c r="G303" s="3">
        <f>CONTROLE_DIARIO!G304</f>
        <v>0</v>
      </c>
      <c r="H303" s="3">
        <f>CONTROLE_DIARIO!H304</f>
        <v>0</v>
      </c>
      <c r="I303" s="3">
        <f>CONTROLE_DIARIO!I304</f>
        <v>0</v>
      </c>
      <c r="J303" s="3" t="str">
        <f>CONTROLE_DIARIO!J304</f>
        <v/>
      </c>
      <c r="K303" s="3" t="str">
        <f>CONTROLE_DIARIO!K304</f>
        <v/>
      </c>
      <c r="L303" s="51">
        <f>CONTROLE_DIARIO!L304</f>
        <v>0</v>
      </c>
      <c r="M303" s="51">
        <f>CONTROLE_DIARIO!M304</f>
        <v>0</v>
      </c>
      <c r="N303" s="3">
        <f>CONTROLE_DIARIO!N304</f>
        <v>0</v>
      </c>
      <c r="O303" s="3" t="str">
        <f>CONTROLE_DIARIO!O304</f>
        <v/>
      </c>
      <c r="P303" s="51" t="str">
        <f>CONTROLE_DIARIO!P304</f>
        <v/>
      </c>
      <c r="Q303" s="6">
        <f t="shared" si="33"/>
        <v>0</v>
      </c>
      <c r="R303" s="54" t="str">
        <f t="shared" si="34"/>
        <v>OK</v>
      </c>
      <c r="S303" s="3" t="str">
        <f t="shared" si="35"/>
        <v>jan/yy</v>
      </c>
      <c r="T303" s="3">
        <f t="shared" si="36"/>
        <v>1</v>
      </c>
      <c r="U303" s="3">
        <f t="shared" si="37"/>
        <v>1900</v>
      </c>
      <c r="V303" s="6">
        <f t="shared" si="38"/>
        <v>0</v>
      </c>
      <c r="W303" s="3" t="str">
        <f t="shared" si="39"/>
        <v>CRÍTICO</v>
      </c>
    </row>
    <row r="304" spans="1:23" x14ac:dyDescent="0.25">
      <c r="A304" s="2">
        <f>CONTROLE_DIARIO!A305</f>
        <v>0</v>
      </c>
      <c r="B304" s="51">
        <f>CONTROLE_DIARIO!B305</f>
        <v>0</v>
      </c>
      <c r="C304" s="3">
        <f>CONTROLE_DIARIO!C305</f>
        <v>0</v>
      </c>
      <c r="D304" s="3">
        <f>CONTROLE_DIARIO!D305</f>
        <v>0</v>
      </c>
      <c r="E304" s="3">
        <f>CONTROLE_DIARIO!E305</f>
        <v>0</v>
      </c>
      <c r="F304" s="3">
        <f>CONTROLE_DIARIO!F305</f>
        <v>0</v>
      </c>
      <c r="G304" s="3">
        <f>CONTROLE_DIARIO!G305</f>
        <v>0</v>
      </c>
      <c r="H304" s="3">
        <f>CONTROLE_DIARIO!H305</f>
        <v>0</v>
      </c>
      <c r="I304" s="3">
        <f>CONTROLE_DIARIO!I305</f>
        <v>0</v>
      </c>
      <c r="J304" s="3" t="str">
        <f>CONTROLE_DIARIO!J305</f>
        <v/>
      </c>
      <c r="K304" s="3" t="str">
        <f>CONTROLE_DIARIO!K305</f>
        <v/>
      </c>
      <c r="L304" s="51">
        <f>CONTROLE_DIARIO!L305</f>
        <v>0</v>
      </c>
      <c r="M304" s="51">
        <f>CONTROLE_DIARIO!M305</f>
        <v>0</v>
      </c>
      <c r="N304" s="3">
        <f>CONTROLE_DIARIO!N305</f>
        <v>0</v>
      </c>
      <c r="O304" s="3" t="str">
        <f>CONTROLE_DIARIO!O305</f>
        <v/>
      </c>
      <c r="P304" s="51" t="str">
        <f>CONTROLE_DIARIO!P305</f>
        <v/>
      </c>
      <c r="Q304" s="6">
        <f t="shared" si="33"/>
        <v>0</v>
      </c>
      <c r="R304" s="54" t="str">
        <f t="shared" si="34"/>
        <v>OK</v>
      </c>
      <c r="S304" s="3" t="str">
        <f t="shared" si="35"/>
        <v>jan/yy</v>
      </c>
      <c r="T304" s="3">
        <f t="shared" si="36"/>
        <v>1</v>
      </c>
      <c r="U304" s="3">
        <f t="shared" si="37"/>
        <v>1900</v>
      </c>
      <c r="V304" s="6">
        <f t="shared" si="38"/>
        <v>0</v>
      </c>
      <c r="W304" s="3" t="str">
        <f t="shared" si="39"/>
        <v>CRÍTICO</v>
      </c>
    </row>
    <row r="305" spans="1:23" x14ac:dyDescent="0.25">
      <c r="A305" s="2">
        <f>CONTROLE_DIARIO!A306</f>
        <v>0</v>
      </c>
      <c r="B305" s="51">
        <f>CONTROLE_DIARIO!B306</f>
        <v>0</v>
      </c>
      <c r="C305" s="3">
        <f>CONTROLE_DIARIO!C306</f>
        <v>0</v>
      </c>
      <c r="D305" s="3">
        <f>CONTROLE_DIARIO!D306</f>
        <v>0</v>
      </c>
      <c r="E305" s="3">
        <f>CONTROLE_DIARIO!E306</f>
        <v>0</v>
      </c>
      <c r="F305" s="3">
        <f>CONTROLE_DIARIO!F306</f>
        <v>0</v>
      </c>
      <c r="G305" s="3">
        <f>CONTROLE_DIARIO!G306</f>
        <v>0</v>
      </c>
      <c r="H305" s="3">
        <f>CONTROLE_DIARIO!H306</f>
        <v>0</v>
      </c>
      <c r="I305" s="3">
        <f>CONTROLE_DIARIO!I306</f>
        <v>0</v>
      </c>
      <c r="J305" s="3" t="str">
        <f>CONTROLE_DIARIO!J306</f>
        <v/>
      </c>
      <c r="K305" s="3" t="str">
        <f>CONTROLE_DIARIO!K306</f>
        <v/>
      </c>
      <c r="L305" s="51">
        <f>CONTROLE_DIARIO!L306</f>
        <v>0</v>
      </c>
      <c r="M305" s="51">
        <f>CONTROLE_DIARIO!M306</f>
        <v>0</v>
      </c>
      <c r="N305" s="3">
        <f>CONTROLE_DIARIO!N306</f>
        <v>0</v>
      </c>
      <c r="O305" s="3" t="str">
        <f>CONTROLE_DIARIO!O306</f>
        <v/>
      </c>
      <c r="P305" s="51" t="str">
        <f>CONTROLE_DIARIO!P306</f>
        <v/>
      </c>
      <c r="Q305" s="6">
        <f t="shared" si="33"/>
        <v>0</v>
      </c>
      <c r="R305" s="54" t="str">
        <f t="shared" si="34"/>
        <v>OK</v>
      </c>
      <c r="S305" s="3" t="str">
        <f t="shared" si="35"/>
        <v>jan/yy</v>
      </c>
      <c r="T305" s="3">
        <f t="shared" si="36"/>
        <v>1</v>
      </c>
      <c r="U305" s="3">
        <f t="shared" si="37"/>
        <v>1900</v>
      </c>
      <c r="V305" s="6">
        <f t="shared" si="38"/>
        <v>0</v>
      </c>
      <c r="W305" s="3" t="str">
        <f t="shared" si="39"/>
        <v>CRÍTICO</v>
      </c>
    </row>
    <row r="306" spans="1:23" x14ac:dyDescent="0.25">
      <c r="A306" s="2">
        <f>CONTROLE_DIARIO!A307</f>
        <v>0</v>
      </c>
      <c r="B306" s="51">
        <f>CONTROLE_DIARIO!B307</f>
        <v>0</v>
      </c>
      <c r="C306" s="3">
        <f>CONTROLE_DIARIO!C307</f>
        <v>0</v>
      </c>
      <c r="D306" s="3">
        <f>CONTROLE_DIARIO!D307</f>
        <v>0</v>
      </c>
      <c r="E306" s="3">
        <f>CONTROLE_DIARIO!E307</f>
        <v>0</v>
      </c>
      <c r="F306" s="3">
        <f>CONTROLE_DIARIO!F307</f>
        <v>0</v>
      </c>
      <c r="G306" s="3">
        <f>CONTROLE_DIARIO!G307</f>
        <v>0</v>
      </c>
      <c r="H306" s="3">
        <f>CONTROLE_DIARIO!H307</f>
        <v>0</v>
      </c>
      <c r="I306" s="3">
        <f>CONTROLE_DIARIO!I307</f>
        <v>0</v>
      </c>
      <c r="J306" s="3" t="str">
        <f>CONTROLE_DIARIO!J307</f>
        <v/>
      </c>
      <c r="K306" s="3" t="str">
        <f>CONTROLE_DIARIO!K307</f>
        <v/>
      </c>
      <c r="L306" s="51">
        <f>CONTROLE_DIARIO!L307</f>
        <v>0</v>
      </c>
      <c r="M306" s="51">
        <f>CONTROLE_DIARIO!M307</f>
        <v>0</v>
      </c>
      <c r="N306" s="3">
        <f>CONTROLE_DIARIO!N307</f>
        <v>0</v>
      </c>
      <c r="O306" s="3" t="str">
        <f>CONTROLE_DIARIO!O307</f>
        <v/>
      </c>
      <c r="P306" s="51" t="str">
        <f>CONTROLE_DIARIO!P307</f>
        <v/>
      </c>
      <c r="Q306" s="6">
        <f t="shared" si="33"/>
        <v>0</v>
      </c>
      <c r="R306" s="54" t="str">
        <f t="shared" si="34"/>
        <v>OK</v>
      </c>
      <c r="S306" s="3" t="str">
        <f t="shared" si="35"/>
        <v>jan/yy</v>
      </c>
      <c r="T306" s="3">
        <f t="shared" si="36"/>
        <v>1</v>
      </c>
      <c r="U306" s="3">
        <f t="shared" si="37"/>
        <v>1900</v>
      </c>
      <c r="V306" s="6">
        <f t="shared" si="38"/>
        <v>0</v>
      </c>
      <c r="W306" s="3" t="str">
        <f t="shared" si="39"/>
        <v>CRÍTICO</v>
      </c>
    </row>
    <row r="307" spans="1:23" x14ac:dyDescent="0.25">
      <c r="A307" s="2">
        <f>CONTROLE_DIARIO!A308</f>
        <v>0</v>
      </c>
      <c r="B307" s="51">
        <f>CONTROLE_DIARIO!B308</f>
        <v>0</v>
      </c>
      <c r="C307" s="3">
        <f>CONTROLE_DIARIO!C308</f>
        <v>0</v>
      </c>
      <c r="D307" s="3">
        <f>CONTROLE_DIARIO!D308</f>
        <v>0</v>
      </c>
      <c r="E307" s="3">
        <f>CONTROLE_DIARIO!E308</f>
        <v>0</v>
      </c>
      <c r="F307" s="3">
        <f>CONTROLE_DIARIO!F308</f>
        <v>0</v>
      </c>
      <c r="G307" s="3">
        <f>CONTROLE_DIARIO!G308</f>
        <v>0</v>
      </c>
      <c r="H307" s="3">
        <f>CONTROLE_DIARIO!H308</f>
        <v>0</v>
      </c>
      <c r="I307" s="3">
        <f>CONTROLE_DIARIO!I308</f>
        <v>0</v>
      </c>
      <c r="J307" s="3" t="str">
        <f>CONTROLE_DIARIO!J308</f>
        <v/>
      </c>
      <c r="K307" s="3" t="str">
        <f>CONTROLE_DIARIO!K308</f>
        <v/>
      </c>
      <c r="L307" s="51">
        <f>CONTROLE_DIARIO!L308</f>
        <v>0</v>
      </c>
      <c r="M307" s="51">
        <f>CONTROLE_DIARIO!M308</f>
        <v>0</v>
      </c>
      <c r="N307" s="3">
        <f>CONTROLE_DIARIO!N308</f>
        <v>0</v>
      </c>
      <c r="O307" s="3" t="str">
        <f>CONTROLE_DIARIO!O308</f>
        <v/>
      </c>
      <c r="P307" s="51" t="str">
        <f>CONTROLE_DIARIO!P308</f>
        <v/>
      </c>
      <c r="Q307" s="6">
        <f t="shared" si="33"/>
        <v>0</v>
      </c>
      <c r="R307" s="54" t="str">
        <f t="shared" si="34"/>
        <v>OK</v>
      </c>
      <c r="S307" s="3" t="str">
        <f t="shared" si="35"/>
        <v>jan/yy</v>
      </c>
      <c r="T307" s="3">
        <f t="shared" si="36"/>
        <v>1</v>
      </c>
      <c r="U307" s="3">
        <f t="shared" si="37"/>
        <v>1900</v>
      </c>
      <c r="V307" s="6">
        <f t="shared" si="38"/>
        <v>0</v>
      </c>
      <c r="W307" s="3" t="str">
        <f t="shared" si="39"/>
        <v>CRÍTICO</v>
      </c>
    </row>
    <row r="308" spans="1:23" x14ac:dyDescent="0.25">
      <c r="A308" s="2">
        <f>CONTROLE_DIARIO!A309</f>
        <v>0</v>
      </c>
      <c r="B308" s="51">
        <f>CONTROLE_DIARIO!B309</f>
        <v>0</v>
      </c>
      <c r="C308" s="3">
        <f>CONTROLE_DIARIO!C309</f>
        <v>0</v>
      </c>
      <c r="D308" s="3">
        <f>CONTROLE_DIARIO!D309</f>
        <v>0</v>
      </c>
      <c r="E308" s="3">
        <f>CONTROLE_DIARIO!E309</f>
        <v>0</v>
      </c>
      <c r="F308" s="3">
        <f>CONTROLE_DIARIO!F309</f>
        <v>0</v>
      </c>
      <c r="G308" s="3">
        <f>CONTROLE_DIARIO!G309</f>
        <v>0</v>
      </c>
      <c r="H308" s="3">
        <f>CONTROLE_DIARIO!H309</f>
        <v>0</v>
      </c>
      <c r="I308" s="3">
        <f>CONTROLE_DIARIO!I309</f>
        <v>0</v>
      </c>
      <c r="J308" s="3" t="str">
        <f>CONTROLE_DIARIO!J309</f>
        <v/>
      </c>
      <c r="K308" s="3" t="str">
        <f>CONTROLE_DIARIO!K309</f>
        <v/>
      </c>
      <c r="L308" s="51">
        <f>CONTROLE_DIARIO!L309</f>
        <v>0</v>
      </c>
      <c r="M308" s="51">
        <f>CONTROLE_DIARIO!M309</f>
        <v>0</v>
      </c>
      <c r="N308" s="3">
        <f>CONTROLE_DIARIO!N309</f>
        <v>0</v>
      </c>
      <c r="O308" s="3" t="str">
        <f>CONTROLE_DIARIO!O309</f>
        <v/>
      </c>
      <c r="P308" s="51" t="str">
        <f>CONTROLE_DIARIO!P309</f>
        <v/>
      </c>
      <c r="Q308" s="6">
        <f t="shared" si="33"/>
        <v>0</v>
      </c>
      <c r="R308" s="54" t="str">
        <f t="shared" si="34"/>
        <v>OK</v>
      </c>
      <c r="S308" s="3" t="str">
        <f t="shared" si="35"/>
        <v>jan/yy</v>
      </c>
      <c r="T308" s="3">
        <f t="shared" si="36"/>
        <v>1</v>
      </c>
      <c r="U308" s="3">
        <f t="shared" si="37"/>
        <v>1900</v>
      </c>
      <c r="V308" s="6">
        <f t="shared" si="38"/>
        <v>0</v>
      </c>
      <c r="W308" s="3" t="str">
        <f t="shared" si="39"/>
        <v>CRÍTICO</v>
      </c>
    </row>
    <row r="309" spans="1:23" x14ac:dyDescent="0.25">
      <c r="A309" s="2">
        <f>CONTROLE_DIARIO!A310</f>
        <v>0</v>
      </c>
      <c r="B309" s="51">
        <f>CONTROLE_DIARIO!B310</f>
        <v>0</v>
      </c>
      <c r="C309" s="3">
        <f>CONTROLE_DIARIO!C310</f>
        <v>0</v>
      </c>
      <c r="D309" s="3">
        <f>CONTROLE_DIARIO!D310</f>
        <v>0</v>
      </c>
      <c r="E309" s="3">
        <f>CONTROLE_DIARIO!E310</f>
        <v>0</v>
      </c>
      <c r="F309" s="3">
        <f>CONTROLE_DIARIO!F310</f>
        <v>0</v>
      </c>
      <c r="G309" s="3">
        <f>CONTROLE_DIARIO!G310</f>
        <v>0</v>
      </c>
      <c r="H309" s="3">
        <f>CONTROLE_DIARIO!H310</f>
        <v>0</v>
      </c>
      <c r="I309" s="3">
        <f>CONTROLE_DIARIO!I310</f>
        <v>0</v>
      </c>
      <c r="J309" s="3" t="str">
        <f>CONTROLE_DIARIO!J310</f>
        <v/>
      </c>
      <c r="K309" s="3" t="str">
        <f>CONTROLE_DIARIO!K310</f>
        <v/>
      </c>
      <c r="L309" s="51">
        <f>CONTROLE_DIARIO!L310</f>
        <v>0</v>
      </c>
      <c r="M309" s="51">
        <f>CONTROLE_DIARIO!M310</f>
        <v>0</v>
      </c>
      <c r="N309" s="3">
        <f>CONTROLE_DIARIO!N310</f>
        <v>0</v>
      </c>
      <c r="O309" s="3" t="str">
        <f>CONTROLE_DIARIO!O310</f>
        <v/>
      </c>
      <c r="P309" s="51" t="str">
        <f>CONTROLE_DIARIO!P310</f>
        <v/>
      </c>
      <c r="Q309" s="6">
        <f t="shared" si="33"/>
        <v>0</v>
      </c>
      <c r="R309" s="54" t="str">
        <f t="shared" si="34"/>
        <v>OK</v>
      </c>
      <c r="S309" s="3" t="str">
        <f t="shared" si="35"/>
        <v>jan/yy</v>
      </c>
      <c r="T309" s="3">
        <f t="shared" si="36"/>
        <v>1</v>
      </c>
      <c r="U309" s="3">
        <f t="shared" si="37"/>
        <v>1900</v>
      </c>
      <c r="V309" s="6">
        <f t="shared" si="38"/>
        <v>0</v>
      </c>
      <c r="W309" s="3" t="str">
        <f t="shared" si="39"/>
        <v>CRÍTICO</v>
      </c>
    </row>
    <row r="310" spans="1:23" x14ac:dyDescent="0.25">
      <c r="A310" s="2">
        <f>CONTROLE_DIARIO!A311</f>
        <v>0</v>
      </c>
      <c r="B310" s="51">
        <f>CONTROLE_DIARIO!B311</f>
        <v>0</v>
      </c>
      <c r="C310" s="3">
        <f>CONTROLE_DIARIO!C311</f>
        <v>0</v>
      </c>
      <c r="D310" s="3">
        <f>CONTROLE_DIARIO!D311</f>
        <v>0</v>
      </c>
      <c r="E310" s="3">
        <f>CONTROLE_DIARIO!E311</f>
        <v>0</v>
      </c>
      <c r="F310" s="3">
        <f>CONTROLE_DIARIO!F311</f>
        <v>0</v>
      </c>
      <c r="G310" s="3">
        <f>CONTROLE_DIARIO!G311</f>
        <v>0</v>
      </c>
      <c r="H310" s="3">
        <f>CONTROLE_DIARIO!H311</f>
        <v>0</v>
      </c>
      <c r="I310" s="3">
        <f>CONTROLE_DIARIO!I311</f>
        <v>0</v>
      </c>
      <c r="J310" s="3" t="str">
        <f>CONTROLE_DIARIO!J311</f>
        <v/>
      </c>
      <c r="K310" s="3" t="str">
        <f>CONTROLE_DIARIO!K311</f>
        <v/>
      </c>
      <c r="L310" s="51">
        <f>CONTROLE_DIARIO!L311</f>
        <v>0</v>
      </c>
      <c r="M310" s="51">
        <f>CONTROLE_DIARIO!M311</f>
        <v>0</v>
      </c>
      <c r="N310" s="3">
        <f>CONTROLE_DIARIO!N311</f>
        <v>0</v>
      </c>
      <c r="O310" s="3" t="str">
        <f>CONTROLE_DIARIO!O311</f>
        <v/>
      </c>
      <c r="P310" s="51" t="str">
        <f>CONTROLE_DIARIO!P311</f>
        <v/>
      </c>
      <c r="Q310" s="6">
        <f t="shared" si="33"/>
        <v>0</v>
      </c>
      <c r="R310" s="54" t="str">
        <f t="shared" si="34"/>
        <v>OK</v>
      </c>
      <c r="S310" s="3" t="str">
        <f t="shared" si="35"/>
        <v>jan/yy</v>
      </c>
      <c r="T310" s="3">
        <f t="shared" si="36"/>
        <v>1</v>
      </c>
      <c r="U310" s="3">
        <f t="shared" si="37"/>
        <v>1900</v>
      </c>
      <c r="V310" s="6">
        <f t="shared" si="38"/>
        <v>0</v>
      </c>
      <c r="W310" s="3" t="str">
        <f t="shared" si="39"/>
        <v>CRÍTICO</v>
      </c>
    </row>
    <row r="311" spans="1:23" x14ac:dyDescent="0.25">
      <c r="A311" s="2">
        <f>CONTROLE_DIARIO!A312</f>
        <v>0</v>
      </c>
      <c r="B311" s="51">
        <f>CONTROLE_DIARIO!B312</f>
        <v>0</v>
      </c>
      <c r="C311" s="3">
        <f>CONTROLE_DIARIO!C312</f>
        <v>0</v>
      </c>
      <c r="D311" s="3">
        <f>CONTROLE_DIARIO!D312</f>
        <v>0</v>
      </c>
      <c r="E311" s="3">
        <f>CONTROLE_DIARIO!E312</f>
        <v>0</v>
      </c>
      <c r="F311" s="3">
        <f>CONTROLE_DIARIO!F312</f>
        <v>0</v>
      </c>
      <c r="G311" s="3">
        <f>CONTROLE_DIARIO!G312</f>
        <v>0</v>
      </c>
      <c r="H311" s="3">
        <f>CONTROLE_DIARIO!H312</f>
        <v>0</v>
      </c>
      <c r="I311" s="3">
        <f>CONTROLE_DIARIO!I312</f>
        <v>0</v>
      </c>
      <c r="J311" s="3" t="str">
        <f>CONTROLE_DIARIO!J312</f>
        <v/>
      </c>
      <c r="K311" s="3" t="str">
        <f>CONTROLE_DIARIO!K312</f>
        <v/>
      </c>
      <c r="L311" s="51">
        <f>CONTROLE_DIARIO!L312</f>
        <v>0</v>
      </c>
      <c r="M311" s="51">
        <f>CONTROLE_DIARIO!M312</f>
        <v>0</v>
      </c>
      <c r="N311" s="3">
        <f>CONTROLE_DIARIO!N312</f>
        <v>0</v>
      </c>
      <c r="O311" s="3" t="str">
        <f>CONTROLE_DIARIO!O312</f>
        <v/>
      </c>
      <c r="P311" s="51" t="str">
        <f>CONTROLE_DIARIO!P312</f>
        <v/>
      </c>
      <c r="Q311" s="6">
        <f t="shared" si="33"/>
        <v>0</v>
      </c>
      <c r="R311" s="54" t="str">
        <f t="shared" si="34"/>
        <v>OK</v>
      </c>
      <c r="S311" s="3" t="str">
        <f t="shared" si="35"/>
        <v>jan/yy</v>
      </c>
      <c r="T311" s="3">
        <f t="shared" si="36"/>
        <v>1</v>
      </c>
      <c r="U311" s="3">
        <f t="shared" si="37"/>
        <v>1900</v>
      </c>
      <c r="V311" s="6">
        <f t="shared" si="38"/>
        <v>0</v>
      </c>
      <c r="W311" s="3" t="str">
        <f t="shared" si="39"/>
        <v>CRÍTICO</v>
      </c>
    </row>
    <row r="312" spans="1:23" x14ac:dyDescent="0.25">
      <c r="A312" s="2">
        <f>CONTROLE_DIARIO!A313</f>
        <v>0</v>
      </c>
      <c r="B312" s="51">
        <f>CONTROLE_DIARIO!B313</f>
        <v>0</v>
      </c>
      <c r="C312" s="3">
        <f>CONTROLE_DIARIO!C313</f>
        <v>0</v>
      </c>
      <c r="D312" s="3">
        <f>CONTROLE_DIARIO!D313</f>
        <v>0</v>
      </c>
      <c r="E312" s="3">
        <f>CONTROLE_DIARIO!E313</f>
        <v>0</v>
      </c>
      <c r="F312" s="3">
        <f>CONTROLE_DIARIO!F313</f>
        <v>0</v>
      </c>
      <c r="G312" s="3">
        <f>CONTROLE_DIARIO!G313</f>
        <v>0</v>
      </c>
      <c r="H312" s="3">
        <f>CONTROLE_DIARIO!H313</f>
        <v>0</v>
      </c>
      <c r="I312" s="3">
        <f>CONTROLE_DIARIO!I313</f>
        <v>0</v>
      </c>
      <c r="J312" s="3" t="str">
        <f>CONTROLE_DIARIO!J313</f>
        <v/>
      </c>
      <c r="K312" s="3" t="str">
        <f>CONTROLE_DIARIO!K313</f>
        <v/>
      </c>
      <c r="L312" s="51">
        <f>CONTROLE_DIARIO!L313</f>
        <v>0</v>
      </c>
      <c r="M312" s="51">
        <f>CONTROLE_DIARIO!M313</f>
        <v>0</v>
      </c>
      <c r="N312" s="3">
        <f>CONTROLE_DIARIO!N313</f>
        <v>0</v>
      </c>
      <c r="O312" s="3" t="str">
        <f>CONTROLE_DIARIO!O313</f>
        <v/>
      </c>
      <c r="P312" s="51" t="str">
        <f>CONTROLE_DIARIO!P313</f>
        <v/>
      </c>
      <c r="Q312" s="6">
        <f t="shared" si="33"/>
        <v>0</v>
      </c>
      <c r="R312" s="54" t="str">
        <f t="shared" si="34"/>
        <v>OK</v>
      </c>
      <c r="S312" s="3" t="str">
        <f t="shared" si="35"/>
        <v>jan/yy</v>
      </c>
      <c r="T312" s="3">
        <f t="shared" si="36"/>
        <v>1</v>
      </c>
      <c r="U312" s="3">
        <f t="shared" si="37"/>
        <v>1900</v>
      </c>
      <c r="V312" s="6">
        <f t="shared" si="38"/>
        <v>0</v>
      </c>
      <c r="W312" s="3" t="str">
        <f t="shared" si="39"/>
        <v>CRÍTICO</v>
      </c>
    </row>
    <row r="313" spans="1:23" x14ac:dyDescent="0.25">
      <c r="A313" s="2">
        <f>CONTROLE_DIARIO!A314</f>
        <v>0</v>
      </c>
      <c r="B313" s="51">
        <f>CONTROLE_DIARIO!B314</f>
        <v>0</v>
      </c>
      <c r="C313" s="3">
        <f>CONTROLE_DIARIO!C314</f>
        <v>0</v>
      </c>
      <c r="D313" s="3">
        <f>CONTROLE_DIARIO!D314</f>
        <v>0</v>
      </c>
      <c r="E313" s="3">
        <f>CONTROLE_DIARIO!E314</f>
        <v>0</v>
      </c>
      <c r="F313" s="3">
        <f>CONTROLE_DIARIO!F314</f>
        <v>0</v>
      </c>
      <c r="G313" s="3">
        <f>CONTROLE_DIARIO!G314</f>
        <v>0</v>
      </c>
      <c r="H313" s="3">
        <f>CONTROLE_DIARIO!H314</f>
        <v>0</v>
      </c>
      <c r="I313" s="3">
        <f>CONTROLE_DIARIO!I314</f>
        <v>0</v>
      </c>
      <c r="J313" s="3" t="str">
        <f>CONTROLE_DIARIO!J314</f>
        <v/>
      </c>
      <c r="K313" s="3" t="str">
        <f>CONTROLE_DIARIO!K314</f>
        <v/>
      </c>
      <c r="L313" s="51">
        <f>CONTROLE_DIARIO!L314</f>
        <v>0</v>
      </c>
      <c r="M313" s="51">
        <f>CONTROLE_DIARIO!M314</f>
        <v>0</v>
      </c>
      <c r="N313" s="3">
        <f>CONTROLE_DIARIO!N314</f>
        <v>0</v>
      </c>
      <c r="O313" s="3" t="str">
        <f>CONTROLE_DIARIO!O314</f>
        <v/>
      </c>
      <c r="P313" s="51" t="str">
        <f>CONTROLE_DIARIO!P314</f>
        <v/>
      </c>
      <c r="Q313" s="6">
        <f t="shared" si="33"/>
        <v>0</v>
      </c>
      <c r="R313" s="54" t="str">
        <f t="shared" si="34"/>
        <v>OK</v>
      </c>
      <c r="S313" s="3" t="str">
        <f t="shared" si="35"/>
        <v>jan/yy</v>
      </c>
      <c r="T313" s="3">
        <f t="shared" si="36"/>
        <v>1</v>
      </c>
      <c r="U313" s="3">
        <f t="shared" si="37"/>
        <v>1900</v>
      </c>
      <c r="V313" s="6">
        <f t="shared" si="38"/>
        <v>0</v>
      </c>
      <c r="W313" s="3" t="str">
        <f t="shared" si="39"/>
        <v>CRÍTICO</v>
      </c>
    </row>
    <row r="314" spans="1:23" x14ac:dyDescent="0.25">
      <c r="A314" s="2">
        <f>CONTROLE_DIARIO!A315</f>
        <v>0</v>
      </c>
      <c r="B314" s="51">
        <f>CONTROLE_DIARIO!B315</f>
        <v>0</v>
      </c>
      <c r="C314" s="3">
        <f>CONTROLE_DIARIO!C315</f>
        <v>0</v>
      </c>
      <c r="D314" s="3">
        <f>CONTROLE_DIARIO!D315</f>
        <v>0</v>
      </c>
      <c r="E314" s="3">
        <f>CONTROLE_DIARIO!E315</f>
        <v>0</v>
      </c>
      <c r="F314" s="3">
        <f>CONTROLE_DIARIO!F315</f>
        <v>0</v>
      </c>
      <c r="G314" s="3">
        <f>CONTROLE_DIARIO!G315</f>
        <v>0</v>
      </c>
      <c r="H314" s="3">
        <f>CONTROLE_DIARIO!H315</f>
        <v>0</v>
      </c>
      <c r="I314" s="3">
        <f>CONTROLE_DIARIO!I315</f>
        <v>0</v>
      </c>
      <c r="J314" s="3" t="str">
        <f>CONTROLE_DIARIO!J315</f>
        <v/>
      </c>
      <c r="K314" s="3" t="str">
        <f>CONTROLE_DIARIO!K315</f>
        <v/>
      </c>
      <c r="L314" s="51">
        <f>CONTROLE_DIARIO!L315</f>
        <v>0</v>
      </c>
      <c r="M314" s="51">
        <f>CONTROLE_DIARIO!M315</f>
        <v>0</v>
      </c>
      <c r="N314" s="3">
        <f>CONTROLE_DIARIO!N315</f>
        <v>0</v>
      </c>
      <c r="O314" s="3" t="str">
        <f>CONTROLE_DIARIO!O315</f>
        <v/>
      </c>
      <c r="P314" s="51" t="str">
        <f>CONTROLE_DIARIO!P315</f>
        <v/>
      </c>
      <c r="Q314" s="6">
        <f t="shared" si="33"/>
        <v>0</v>
      </c>
      <c r="R314" s="54" t="str">
        <f t="shared" si="34"/>
        <v>OK</v>
      </c>
      <c r="S314" s="3" t="str">
        <f t="shared" si="35"/>
        <v>jan/yy</v>
      </c>
      <c r="T314" s="3">
        <f t="shared" si="36"/>
        <v>1</v>
      </c>
      <c r="U314" s="3">
        <f t="shared" si="37"/>
        <v>1900</v>
      </c>
      <c r="V314" s="6">
        <f t="shared" si="38"/>
        <v>0</v>
      </c>
      <c r="W314" s="3" t="str">
        <f t="shared" si="39"/>
        <v>CRÍTICO</v>
      </c>
    </row>
    <row r="315" spans="1:23" x14ac:dyDescent="0.25">
      <c r="A315" s="2">
        <f>CONTROLE_DIARIO!A316</f>
        <v>0</v>
      </c>
      <c r="B315" s="51">
        <f>CONTROLE_DIARIO!B316</f>
        <v>0</v>
      </c>
      <c r="C315" s="3">
        <f>CONTROLE_DIARIO!C316</f>
        <v>0</v>
      </c>
      <c r="D315" s="3">
        <f>CONTROLE_DIARIO!D316</f>
        <v>0</v>
      </c>
      <c r="E315" s="3">
        <f>CONTROLE_DIARIO!E316</f>
        <v>0</v>
      </c>
      <c r="F315" s="3">
        <f>CONTROLE_DIARIO!F316</f>
        <v>0</v>
      </c>
      <c r="G315" s="3">
        <f>CONTROLE_DIARIO!G316</f>
        <v>0</v>
      </c>
      <c r="H315" s="3">
        <f>CONTROLE_DIARIO!H316</f>
        <v>0</v>
      </c>
      <c r="I315" s="3">
        <f>CONTROLE_DIARIO!I316</f>
        <v>0</v>
      </c>
      <c r="J315" s="3" t="str">
        <f>CONTROLE_DIARIO!J316</f>
        <v/>
      </c>
      <c r="K315" s="3" t="str">
        <f>CONTROLE_DIARIO!K316</f>
        <v/>
      </c>
      <c r="L315" s="51">
        <f>CONTROLE_DIARIO!L316</f>
        <v>0</v>
      </c>
      <c r="M315" s="51">
        <f>CONTROLE_DIARIO!M316</f>
        <v>0</v>
      </c>
      <c r="N315" s="3">
        <f>CONTROLE_DIARIO!N316</f>
        <v>0</v>
      </c>
      <c r="O315" s="3" t="str">
        <f>CONTROLE_DIARIO!O316</f>
        <v/>
      </c>
      <c r="P315" s="51" t="str">
        <f>CONTROLE_DIARIO!P316</f>
        <v/>
      </c>
      <c r="Q315" s="6">
        <f t="shared" si="33"/>
        <v>0</v>
      </c>
      <c r="R315" s="54" t="str">
        <f t="shared" si="34"/>
        <v>OK</v>
      </c>
      <c r="S315" s="3" t="str">
        <f t="shared" si="35"/>
        <v>jan/yy</v>
      </c>
      <c r="T315" s="3">
        <f t="shared" si="36"/>
        <v>1</v>
      </c>
      <c r="U315" s="3">
        <f t="shared" si="37"/>
        <v>1900</v>
      </c>
      <c r="V315" s="6">
        <f t="shared" si="38"/>
        <v>0</v>
      </c>
      <c r="W315" s="3" t="str">
        <f t="shared" si="39"/>
        <v>CRÍTICO</v>
      </c>
    </row>
    <row r="316" spans="1:23" x14ac:dyDescent="0.25">
      <c r="A316" s="2">
        <f>CONTROLE_DIARIO!A317</f>
        <v>0</v>
      </c>
      <c r="B316" s="51">
        <f>CONTROLE_DIARIO!B317</f>
        <v>0</v>
      </c>
      <c r="C316" s="3">
        <f>CONTROLE_DIARIO!C317</f>
        <v>0</v>
      </c>
      <c r="D316" s="3">
        <f>CONTROLE_DIARIO!D317</f>
        <v>0</v>
      </c>
      <c r="E316" s="3">
        <f>CONTROLE_DIARIO!E317</f>
        <v>0</v>
      </c>
      <c r="F316" s="3">
        <f>CONTROLE_DIARIO!F317</f>
        <v>0</v>
      </c>
      <c r="G316" s="3">
        <f>CONTROLE_DIARIO!G317</f>
        <v>0</v>
      </c>
      <c r="H316" s="3">
        <f>CONTROLE_DIARIO!H317</f>
        <v>0</v>
      </c>
      <c r="I316" s="3">
        <f>CONTROLE_DIARIO!I317</f>
        <v>0</v>
      </c>
      <c r="J316" s="3" t="str">
        <f>CONTROLE_DIARIO!J317</f>
        <v/>
      </c>
      <c r="K316" s="3" t="str">
        <f>CONTROLE_DIARIO!K317</f>
        <v/>
      </c>
      <c r="L316" s="51">
        <f>CONTROLE_DIARIO!L317</f>
        <v>0</v>
      </c>
      <c r="M316" s="51">
        <f>CONTROLE_DIARIO!M317</f>
        <v>0</v>
      </c>
      <c r="N316" s="3">
        <f>CONTROLE_DIARIO!N317</f>
        <v>0</v>
      </c>
      <c r="O316" s="3" t="str">
        <f>CONTROLE_DIARIO!O317</f>
        <v/>
      </c>
      <c r="P316" s="51" t="str">
        <f>CONTROLE_DIARIO!P317</f>
        <v/>
      </c>
      <c r="Q316" s="6">
        <f t="shared" si="33"/>
        <v>0</v>
      </c>
      <c r="R316" s="54" t="str">
        <f t="shared" si="34"/>
        <v>OK</v>
      </c>
      <c r="S316" s="3" t="str">
        <f t="shared" si="35"/>
        <v>jan/yy</v>
      </c>
      <c r="T316" s="3">
        <f t="shared" si="36"/>
        <v>1</v>
      </c>
      <c r="U316" s="3">
        <f t="shared" si="37"/>
        <v>1900</v>
      </c>
      <c r="V316" s="6">
        <f t="shared" si="38"/>
        <v>0</v>
      </c>
      <c r="W316" s="3" t="str">
        <f t="shared" si="39"/>
        <v>CRÍTICO</v>
      </c>
    </row>
    <row r="317" spans="1:23" x14ac:dyDescent="0.25">
      <c r="A317" s="2">
        <f>CONTROLE_DIARIO!A318</f>
        <v>0</v>
      </c>
      <c r="B317" s="51">
        <f>CONTROLE_DIARIO!B318</f>
        <v>0</v>
      </c>
      <c r="C317" s="3">
        <f>CONTROLE_DIARIO!C318</f>
        <v>0</v>
      </c>
      <c r="D317" s="3">
        <f>CONTROLE_DIARIO!D318</f>
        <v>0</v>
      </c>
      <c r="E317" s="3">
        <f>CONTROLE_DIARIO!E318</f>
        <v>0</v>
      </c>
      <c r="F317" s="3">
        <f>CONTROLE_DIARIO!F318</f>
        <v>0</v>
      </c>
      <c r="G317" s="3">
        <f>CONTROLE_DIARIO!G318</f>
        <v>0</v>
      </c>
      <c r="H317" s="3">
        <f>CONTROLE_DIARIO!H318</f>
        <v>0</v>
      </c>
      <c r="I317" s="3">
        <f>CONTROLE_DIARIO!I318</f>
        <v>0</v>
      </c>
      <c r="J317" s="3" t="str">
        <f>CONTROLE_DIARIO!J318</f>
        <v/>
      </c>
      <c r="K317" s="3" t="str">
        <f>CONTROLE_DIARIO!K318</f>
        <v/>
      </c>
      <c r="L317" s="51">
        <f>CONTROLE_DIARIO!L318</f>
        <v>0</v>
      </c>
      <c r="M317" s="51">
        <f>CONTROLE_DIARIO!M318</f>
        <v>0</v>
      </c>
      <c r="N317" s="3">
        <f>CONTROLE_DIARIO!N318</f>
        <v>0</v>
      </c>
      <c r="O317" s="3" t="str">
        <f>CONTROLE_DIARIO!O318</f>
        <v/>
      </c>
      <c r="P317" s="51" t="str">
        <f>CONTROLE_DIARIO!P318</f>
        <v/>
      </c>
      <c r="Q317" s="6">
        <f t="shared" si="33"/>
        <v>0</v>
      </c>
      <c r="R317" s="54" t="str">
        <f t="shared" si="34"/>
        <v>OK</v>
      </c>
      <c r="S317" s="3" t="str">
        <f t="shared" si="35"/>
        <v>jan/yy</v>
      </c>
      <c r="T317" s="3">
        <f t="shared" si="36"/>
        <v>1</v>
      </c>
      <c r="U317" s="3">
        <f t="shared" si="37"/>
        <v>1900</v>
      </c>
      <c r="V317" s="6">
        <f t="shared" si="38"/>
        <v>0</v>
      </c>
      <c r="W317" s="3" t="str">
        <f t="shared" si="39"/>
        <v>CRÍTICO</v>
      </c>
    </row>
    <row r="318" spans="1:23" x14ac:dyDescent="0.25">
      <c r="A318" s="2">
        <f>CONTROLE_DIARIO!A319</f>
        <v>0</v>
      </c>
      <c r="B318" s="51">
        <f>CONTROLE_DIARIO!B319</f>
        <v>0</v>
      </c>
      <c r="C318" s="3">
        <f>CONTROLE_DIARIO!C319</f>
        <v>0</v>
      </c>
      <c r="D318" s="3">
        <f>CONTROLE_DIARIO!D319</f>
        <v>0</v>
      </c>
      <c r="E318" s="3">
        <f>CONTROLE_DIARIO!E319</f>
        <v>0</v>
      </c>
      <c r="F318" s="3">
        <f>CONTROLE_DIARIO!F319</f>
        <v>0</v>
      </c>
      <c r="G318" s="3">
        <f>CONTROLE_DIARIO!G319</f>
        <v>0</v>
      </c>
      <c r="H318" s="3">
        <f>CONTROLE_DIARIO!H319</f>
        <v>0</v>
      </c>
      <c r="I318" s="3">
        <f>CONTROLE_DIARIO!I319</f>
        <v>0</v>
      </c>
      <c r="J318" s="3" t="str">
        <f>CONTROLE_DIARIO!J319</f>
        <v/>
      </c>
      <c r="K318" s="3" t="str">
        <f>CONTROLE_DIARIO!K319</f>
        <v/>
      </c>
      <c r="L318" s="51">
        <f>CONTROLE_DIARIO!L319</f>
        <v>0</v>
      </c>
      <c r="M318" s="51">
        <f>CONTROLE_DIARIO!M319</f>
        <v>0</v>
      </c>
      <c r="N318" s="3">
        <f>CONTROLE_DIARIO!N319</f>
        <v>0</v>
      </c>
      <c r="O318" s="3" t="str">
        <f>CONTROLE_DIARIO!O319</f>
        <v/>
      </c>
      <c r="P318" s="51" t="str">
        <f>CONTROLE_DIARIO!P319</f>
        <v/>
      </c>
      <c r="Q318" s="6">
        <f t="shared" si="33"/>
        <v>0</v>
      </c>
      <c r="R318" s="54" t="str">
        <f t="shared" si="34"/>
        <v>OK</v>
      </c>
      <c r="S318" s="3" t="str">
        <f t="shared" si="35"/>
        <v>jan/yy</v>
      </c>
      <c r="T318" s="3">
        <f t="shared" si="36"/>
        <v>1</v>
      </c>
      <c r="U318" s="3">
        <f t="shared" si="37"/>
        <v>1900</v>
      </c>
      <c r="V318" s="6">
        <f t="shared" si="38"/>
        <v>0</v>
      </c>
      <c r="W318" s="3" t="str">
        <f t="shared" si="39"/>
        <v>CRÍTICO</v>
      </c>
    </row>
    <row r="319" spans="1:23" x14ac:dyDescent="0.25">
      <c r="A319" s="2">
        <f>CONTROLE_DIARIO!A320</f>
        <v>0</v>
      </c>
      <c r="B319" s="51">
        <f>CONTROLE_DIARIO!B320</f>
        <v>0</v>
      </c>
      <c r="C319" s="3">
        <f>CONTROLE_DIARIO!C320</f>
        <v>0</v>
      </c>
      <c r="D319" s="3">
        <f>CONTROLE_DIARIO!D320</f>
        <v>0</v>
      </c>
      <c r="E319" s="3">
        <f>CONTROLE_DIARIO!E320</f>
        <v>0</v>
      </c>
      <c r="F319" s="3">
        <f>CONTROLE_DIARIO!F320</f>
        <v>0</v>
      </c>
      <c r="G319" s="3">
        <f>CONTROLE_DIARIO!G320</f>
        <v>0</v>
      </c>
      <c r="H319" s="3">
        <f>CONTROLE_DIARIO!H320</f>
        <v>0</v>
      </c>
      <c r="I319" s="3">
        <f>CONTROLE_DIARIO!I320</f>
        <v>0</v>
      </c>
      <c r="J319" s="3" t="str">
        <f>CONTROLE_DIARIO!J320</f>
        <v/>
      </c>
      <c r="K319" s="3" t="str">
        <f>CONTROLE_DIARIO!K320</f>
        <v/>
      </c>
      <c r="L319" s="51">
        <f>CONTROLE_DIARIO!L320</f>
        <v>0</v>
      </c>
      <c r="M319" s="51">
        <f>CONTROLE_DIARIO!M320</f>
        <v>0</v>
      </c>
      <c r="N319" s="3">
        <f>CONTROLE_DIARIO!N320</f>
        <v>0</v>
      </c>
      <c r="O319" s="3" t="str">
        <f>CONTROLE_DIARIO!O320</f>
        <v/>
      </c>
      <c r="P319" s="51" t="str">
        <f>CONTROLE_DIARIO!P320</f>
        <v/>
      </c>
      <c r="Q319" s="6">
        <f t="shared" si="33"/>
        <v>0</v>
      </c>
      <c r="R319" s="54" t="str">
        <f t="shared" si="34"/>
        <v>OK</v>
      </c>
      <c r="S319" s="3" t="str">
        <f t="shared" si="35"/>
        <v>jan/yy</v>
      </c>
      <c r="T319" s="3">
        <f t="shared" si="36"/>
        <v>1</v>
      </c>
      <c r="U319" s="3">
        <f t="shared" si="37"/>
        <v>1900</v>
      </c>
      <c r="V319" s="6">
        <f t="shared" si="38"/>
        <v>0</v>
      </c>
      <c r="W319" s="3" t="str">
        <f t="shared" si="39"/>
        <v>CRÍTICO</v>
      </c>
    </row>
    <row r="320" spans="1:23" x14ac:dyDescent="0.25">
      <c r="A320" s="2">
        <f>CONTROLE_DIARIO!A321</f>
        <v>0</v>
      </c>
      <c r="B320" s="51">
        <f>CONTROLE_DIARIO!B321</f>
        <v>0</v>
      </c>
      <c r="C320" s="3">
        <f>CONTROLE_DIARIO!C321</f>
        <v>0</v>
      </c>
      <c r="D320" s="3">
        <f>CONTROLE_DIARIO!D321</f>
        <v>0</v>
      </c>
      <c r="E320" s="3">
        <f>CONTROLE_DIARIO!E321</f>
        <v>0</v>
      </c>
      <c r="F320" s="3">
        <f>CONTROLE_DIARIO!F321</f>
        <v>0</v>
      </c>
      <c r="G320" s="3">
        <f>CONTROLE_DIARIO!G321</f>
        <v>0</v>
      </c>
      <c r="H320" s="3">
        <f>CONTROLE_DIARIO!H321</f>
        <v>0</v>
      </c>
      <c r="I320" s="3">
        <f>CONTROLE_DIARIO!I321</f>
        <v>0</v>
      </c>
      <c r="J320" s="3" t="str">
        <f>CONTROLE_DIARIO!J321</f>
        <v/>
      </c>
      <c r="K320" s="3" t="str">
        <f>CONTROLE_DIARIO!K321</f>
        <v/>
      </c>
      <c r="L320" s="51">
        <f>CONTROLE_DIARIO!L321</f>
        <v>0</v>
      </c>
      <c r="M320" s="51">
        <f>CONTROLE_DIARIO!M321</f>
        <v>0</v>
      </c>
      <c r="N320" s="3">
        <f>CONTROLE_DIARIO!N321</f>
        <v>0</v>
      </c>
      <c r="O320" s="3" t="str">
        <f>CONTROLE_DIARIO!O321</f>
        <v/>
      </c>
      <c r="P320" s="51" t="str">
        <f>CONTROLE_DIARIO!P321</f>
        <v/>
      </c>
      <c r="Q320" s="6">
        <f t="shared" si="33"/>
        <v>0</v>
      </c>
      <c r="R320" s="54" t="str">
        <f t="shared" si="34"/>
        <v>OK</v>
      </c>
      <c r="S320" s="3" t="str">
        <f t="shared" si="35"/>
        <v>jan/yy</v>
      </c>
      <c r="T320" s="3">
        <f t="shared" si="36"/>
        <v>1</v>
      </c>
      <c r="U320" s="3">
        <f t="shared" si="37"/>
        <v>1900</v>
      </c>
      <c r="V320" s="6">
        <f t="shared" si="38"/>
        <v>0</v>
      </c>
      <c r="W320" s="3" t="str">
        <f t="shared" si="39"/>
        <v>CRÍTICO</v>
      </c>
    </row>
    <row r="321" spans="1:23" x14ac:dyDescent="0.25">
      <c r="A321" s="2">
        <f>CONTROLE_DIARIO!A322</f>
        <v>0</v>
      </c>
      <c r="B321" s="51">
        <f>CONTROLE_DIARIO!B322</f>
        <v>0</v>
      </c>
      <c r="C321" s="3">
        <f>CONTROLE_DIARIO!C322</f>
        <v>0</v>
      </c>
      <c r="D321" s="3">
        <f>CONTROLE_DIARIO!D322</f>
        <v>0</v>
      </c>
      <c r="E321" s="3">
        <f>CONTROLE_DIARIO!E322</f>
        <v>0</v>
      </c>
      <c r="F321" s="3">
        <f>CONTROLE_DIARIO!F322</f>
        <v>0</v>
      </c>
      <c r="G321" s="3">
        <f>CONTROLE_DIARIO!G322</f>
        <v>0</v>
      </c>
      <c r="H321" s="3">
        <f>CONTROLE_DIARIO!H322</f>
        <v>0</v>
      </c>
      <c r="I321" s="3">
        <f>CONTROLE_DIARIO!I322</f>
        <v>0</v>
      </c>
      <c r="J321" s="3" t="str">
        <f>CONTROLE_DIARIO!J322</f>
        <v/>
      </c>
      <c r="K321" s="3" t="str">
        <f>CONTROLE_DIARIO!K322</f>
        <v/>
      </c>
      <c r="L321" s="51">
        <f>CONTROLE_DIARIO!L322</f>
        <v>0</v>
      </c>
      <c r="M321" s="51">
        <f>CONTROLE_DIARIO!M322</f>
        <v>0</v>
      </c>
      <c r="N321" s="3">
        <f>CONTROLE_DIARIO!N322</f>
        <v>0</v>
      </c>
      <c r="O321" s="3" t="str">
        <f>CONTROLE_DIARIO!O322</f>
        <v/>
      </c>
      <c r="P321" s="51" t="str">
        <f>CONTROLE_DIARIO!P322</f>
        <v/>
      </c>
      <c r="Q321" s="6">
        <f t="shared" si="33"/>
        <v>0</v>
      </c>
      <c r="R321" s="54" t="str">
        <f t="shared" si="34"/>
        <v>OK</v>
      </c>
      <c r="S321" s="3" t="str">
        <f t="shared" si="35"/>
        <v>jan/yy</v>
      </c>
      <c r="T321" s="3">
        <f t="shared" si="36"/>
        <v>1</v>
      </c>
      <c r="U321" s="3">
        <f t="shared" si="37"/>
        <v>1900</v>
      </c>
      <c r="V321" s="6">
        <f t="shared" si="38"/>
        <v>0</v>
      </c>
      <c r="W321" s="3" t="str">
        <f t="shared" si="39"/>
        <v>CRÍTICO</v>
      </c>
    </row>
    <row r="322" spans="1:23" x14ac:dyDescent="0.25">
      <c r="A322" s="2">
        <f>CONTROLE_DIARIO!A323</f>
        <v>0</v>
      </c>
      <c r="B322" s="51">
        <f>CONTROLE_DIARIO!B323</f>
        <v>0</v>
      </c>
      <c r="C322" s="3">
        <f>CONTROLE_DIARIO!C323</f>
        <v>0</v>
      </c>
      <c r="D322" s="3">
        <f>CONTROLE_DIARIO!D323</f>
        <v>0</v>
      </c>
      <c r="E322" s="3">
        <f>CONTROLE_DIARIO!E323</f>
        <v>0</v>
      </c>
      <c r="F322" s="3">
        <f>CONTROLE_DIARIO!F323</f>
        <v>0</v>
      </c>
      <c r="G322" s="3">
        <f>CONTROLE_DIARIO!G323</f>
        <v>0</v>
      </c>
      <c r="H322" s="3">
        <f>CONTROLE_DIARIO!H323</f>
        <v>0</v>
      </c>
      <c r="I322" s="3">
        <f>CONTROLE_DIARIO!I323</f>
        <v>0</v>
      </c>
      <c r="J322" s="3" t="str">
        <f>CONTROLE_DIARIO!J323</f>
        <v/>
      </c>
      <c r="K322" s="3" t="str">
        <f>CONTROLE_DIARIO!K323</f>
        <v/>
      </c>
      <c r="L322" s="51">
        <f>CONTROLE_DIARIO!L323</f>
        <v>0</v>
      </c>
      <c r="M322" s="51">
        <f>CONTROLE_DIARIO!M323</f>
        <v>0</v>
      </c>
      <c r="N322" s="3">
        <f>CONTROLE_DIARIO!N323</f>
        <v>0</v>
      </c>
      <c r="O322" s="3" t="str">
        <f>CONTROLE_DIARIO!O323</f>
        <v/>
      </c>
      <c r="P322" s="51" t="str">
        <f>CONTROLE_DIARIO!P323</f>
        <v/>
      </c>
      <c r="Q322" s="6">
        <f t="shared" si="33"/>
        <v>0</v>
      </c>
      <c r="R322" s="54" t="str">
        <f t="shared" si="34"/>
        <v>OK</v>
      </c>
      <c r="S322" s="3" t="str">
        <f t="shared" si="35"/>
        <v>jan/yy</v>
      </c>
      <c r="T322" s="3">
        <f t="shared" si="36"/>
        <v>1</v>
      </c>
      <c r="U322" s="3">
        <f t="shared" si="37"/>
        <v>1900</v>
      </c>
      <c r="V322" s="6">
        <f t="shared" si="38"/>
        <v>0</v>
      </c>
      <c r="W322" s="3" t="str">
        <f t="shared" si="39"/>
        <v>CRÍTICO</v>
      </c>
    </row>
    <row r="323" spans="1:23" x14ac:dyDescent="0.25">
      <c r="A323" s="2">
        <f>CONTROLE_DIARIO!A324</f>
        <v>0</v>
      </c>
      <c r="B323" s="51">
        <f>CONTROLE_DIARIO!B324</f>
        <v>0</v>
      </c>
      <c r="C323" s="3">
        <f>CONTROLE_DIARIO!C324</f>
        <v>0</v>
      </c>
      <c r="D323" s="3">
        <f>CONTROLE_DIARIO!D324</f>
        <v>0</v>
      </c>
      <c r="E323" s="3">
        <f>CONTROLE_DIARIO!E324</f>
        <v>0</v>
      </c>
      <c r="F323" s="3">
        <f>CONTROLE_DIARIO!F324</f>
        <v>0</v>
      </c>
      <c r="G323" s="3">
        <f>CONTROLE_DIARIO!G324</f>
        <v>0</v>
      </c>
      <c r="H323" s="3">
        <f>CONTROLE_DIARIO!H324</f>
        <v>0</v>
      </c>
      <c r="I323" s="3">
        <f>CONTROLE_DIARIO!I324</f>
        <v>0</v>
      </c>
      <c r="J323" s="3" t="str">
        <f>CONTROLE_DIARIO!J324</f>
        <v/>
      </c>
      <c r="K323" s="3" t="str">
        <f>CONTROLE_DIARIO!K324</f>
        <v/>
      </c>
      <c r="L323" s="51">
        <f>CONTROLE_DIARIO!L324</f>
        <v>0</v>
      </c>
      <c r="M323" s="51">
        <f>CONTROLE_DIARIO!M324</f>
        <v>0</v>
      </c>
      <c r="N323" s="3">
        <f>CONTROLE_DIARIO!N324</f>
        <v>0</v>
      </c>
      <c r="O323" s="3" t="str">
        <f>CONTROLE_DIARIO!O324</f>
        <v/>
      </c>
      <c r="P323" s="51" t="str">
        <f>CONTROLE_DIARIO!P324</f>
        <v/>
      </c>
      <c r="Q323" s="6">
        <f t="shared" si="33"/>
        <v>0</v>
      </c>
      <c r="R323" s="54" t="str">
        <f t="shared" si="34"/>
        <v>OK</v>
      </c>
      <c r="S323" s="3" t="str">
        <f t="shared" si="35"/>
        <v>jan/yy</v>
      </c>
      <c r="T323" s="3">
        <f t="shared" si="36"/>
        <v>1</v>
      </c>
      <c r="U323" s="3">
        <f t="shared" si="37"/>
        <v>1900</v>
      </c>
      <c r="V323" s="6">
        <f t="shared" si="38"/>
        <v>0</v>
      </c>
      <c r="W323" s="3" t="str">
        <f t="shared" si="39"/>
        <v>CRÍTICO</v>
      </c>
    </row>
    <row r="324" spans="1:23" x14ac:dyDescent="0.25">
      <c r="A324" s="2">
        <f>CONTROLE_DIARIO!A325</f>
        <v>0</v>
      </c>
      <c r="B324" s="51">
        <f>CONTROLE_DIARIO!B325</f>
        <v>0</v>
      </c>
      <c r="C324" s="3">
        <f>CONTROLE_DIARIO!C325</f>
        <v>0</v>
      </c>
      <c r="D324" s="3">
        <f>CONTROLE_DIARIO!D325</f>
        <v>0</v>
      </c>
      <c r="E324" s="3">
        <f>CONTROLE_DIARIO!E325</f>
        <v>0</v>
      </c>
      <c r="F324" s="3">
        <f>CONTROLE_DIARIO!F325</f>
        <v>0</v>
      </c>
      <c r="G324" s="3">
        <f>CONTROLE_DIARIO!G325</f>
        <v>0</v>
      </c>
      <c r="H324" s="3">
        <f>CONTROLE_DIARIO!H325</f>
        <v>0</v>
      </c>
      <c r="I324" s="3">
        <f>CONTROLE_DIARIO!I325</f>
        <v>0</v>
      </c>
      <c r="J324" s="3" t="str">
        <f>CONTROLE_DIARIO!J325</f>
        <v/>
      </c>
      <c r="K324" s="3" t="str">
        <f>CONTROLE_DIARIO!K325</f>
        <v/>
      </c>
      <c r="L324" s="51">
        <f>CONTROLE_DIARIO!L325</f>
        <v>0</v>
      </c>
      <c r="M324" s="51">
        <f>CONTROLE_DIARIO!M325</f>
        <v>0</v>
      </c>
      <c r="N324" s="3">
        <f>CONTROLE_DIARIO!N325</f>
        <v>0</v>
      </c>
      <c r="O324" s="3" t="str">
        <f>CONTROLE_DIARIO!O325</f>
        <v/>
      </c>
      <c r="P324" s="51" t="str">
        <f>CONTROLE_DIARIO!P325</f>
        <v/>
      </c>
      <c r="Q324" s="6">
        <f t="shared" si="33"/>
        <v>0</v>
      </c>
      <c r="R324" s="54" t="str">
        <f t="shared" si="34"/>
        <v>OK</v>
      </c>
      <c r="S324" s="3" t="str">
        <f t="shared" si="35"/>
        <v>jan/yy</v>
      </c>
      <c r="T324" s="3">
        <f t="shared" si="36"/>
        <v>1</v>
      </c>
      <c r="U324" s="3">
        <f t="shared" si="37"/>
        <v>1900</v>
      </c>
      <c r="V324" s="6">
        <f t="shared" si="38"/>
        <v>0</v>
      </c>
      <c r="W324" s="3" t="str">
        <f t="shared" si="39"/>
        <v>CRÍTICO</v>
      </c>
    </row>
    <row r="325" spans="1:23" x14ac:dyDescent="0.25">
      <c r="A325" s="2">
        <f>CONTROLE_DIARIO!A326</f>
        <v>0</v>
      </c>
      <c r="B325" s="51">
        <f>CONTROLE_DIARIO!B326</f>
        <v>0</v>
      </c>
      <c r="C325" s="3">
        <f>CONTROLE_DIARIO!C326</f>
        <v>0</v>
      </c>
      <c r="D325" s="3">
        <f>CONTROLE_DIARIO!D326</f>
        <v>0</v>
      </c>
      <c r="E325" s="3">
        <f>CONTROLE_DIARIO!E326</f>
        <v>0</v>
      </c>
      <c r="F325" s="3">
        <f>CONTROLE_DIARIO!F326</f>
        <v>0</v>
      </c>
      <c r="G325" s="3">
        <f>CONTROLE_DIARIO!G326</f>
        <v>0</v>
      </c>
      <c r="H325" s="3">
        <f>CONTROLE_DIARIO!H326</f>
        <v>0</v>
      </c>
      <c r="I325" s="3">
        <f>CONTROLE_DIARIO!I326</f>
        <v>0</v>
      </c>
      <c r="J325" s="3" t="str">
        <f>CONTROLE_DIARIO!J326</f>
        <v/>
      </c>
      <c r="K325" s="3" t="str">
        <f>CONTROLE_DIARIO!K326</f>
        <v/>
      </c>
      <c r="L325" s="51">
        <f>CONTROLE_DIARIO!L326</f>
        <v>0</v>
      </c>
      <c r="M325" s="51">
        <f>CONTROLE_DIARIO!M326</f>
        <v>0</v>
      </c>
      <c r="N325" s="3">
        <f>CONTROLE_DIARIO!N326</f>
        <v>0</v>
      </c>
      <c r="O325" s="3" t="str">
        <f>CONTROLE_DIARIO!O326</f>
        <v/>
      </c>
      <c r="P325" s="51" t="str">
        <f>CONTROLE_DIARIO!P326</f>
        <v/>
      </c>
      <c r="Q325" s="6">
        <f t="shared" si="33"/>
        <v>0</v>
      </c>
      <c r="R325" s="54" t="str">
        <f t="shared" si="34"/>
        <v>OK</v>
      </c>
      <c r="S325" s="3" t="str">
        <f t="shared" si="35"/>
        <v>jan/yy</v>
      </c>
      <c r="T325" s="3">
        <f t="shared" si="36"/>
        <v>1</v>
      </c>
      <c r="U325" s="3">
        <f t="shared" si="37"/>
        <v>1900</v>
      </c>
      <c r="V325" s="6">
        <f t="shared" si="38"/>
        <v>0</v>
      </c>
      <c r="W325" s="3" t="str">
        <f t="shared" si="39"/>
        <v>CRÍTICO</v>
      </c>
    </row>
    <row r="326" spans="1:23" x14ac:dyDescent="0.25">
      <c r="A326" s="2">
        <f>CONTROLE_DIARIO!A327</f>
        <v>0</v>
      </c>
      <c r="B326" s="51">
        <f>CONTROLE_DIARIO!B327</f>
        <v>0</v>
      </c>
      <c r="C326" s="3">
        <f>CONTROLE_DIARIO!C327</f>
        <v>0</v>
      </c>
      <c r="D326" s="3">
        <f>CONTROLE_DIARIO!D327</f>
        <v>0</v>
      </c>
      <c r="E326" s="3">
        <f>CONTROLE_DIARIO!E327</f>
        <v>0</v>
      </c>
      <c r="F326" s="3">
        <f>CONTROLE_DIARIO!F327</f>
        <v>0</v>
      </c>
      <c r="G326" s="3">
        <f>CONTROLE_DIARIO!G327</f>
        <v>0</v>
      </c>
      <c r="H326" s="3">
        <f>CONTROLE_DIARIO!H327</f>
        <v>0</v>
      </c>
      <c r="I326" s="3">
        <f>CONTROLE_DIARIO!I327</f>
        <v>0</v>
      </c>
      <c r="J326" s="3" t="str">
        <f>CONTROLE_DIARIO!J327</f>
        <v/>
      </c>
      <c r="K326" s="3" t="str">
        <f>CONTROLE_DIARIO!K327</f>
        <v/>
      </c>
      <c r="L326" s="51">
        <f>CONTROLE_DIARIO!L327</f>
        <v>0</v>
      </c>
      <c r="M326" s="51">
        <f>CONTROLE_DIARIO!M327</f>
        <v>0</v>
      </c>
      <c r="N326" s="3">
        <f>CONTROLE_DIARIO!N327</f>
        <v>0</v>
      </c>
      <c r="O326" s="3" t="str">
        <f>CONTROLE_DIARIO!O327</f>
        <v/>
      </c>
      <c r="P326" s="51" t="str">
        <f>CONTROLE_DIARIO!P327</f>
        <v/>
      </c>
      <c r="Q326" s="6">
        <f t="shared" ref="Q326:Q389" si="40">IF(C326="","",(IF(F326="SIM",0.3,0)+IF(J326="SIM",0.4,0)+IF(I326="SIM",0.3,0)))</f>
        <v>0</v>
      </c>
      <c r="R326" s="54" t="str">
        <f t="shared" ref="R326:R389" si="41">IF(C326="","",IF(E326="Retorno Total","Retorno Total",IF(E326="Cancelado","Manifesto Cancelado",IF(AND(F326="NÃO",G326="NÃO",H326="NÃO"),"FORA APP",IF(F326="NÃO","Não conferido",IF(I326="NÃO","Não baixado",IF(AND(G326="NÃO",H326="NÃO"),"Sem foto e assinatura",IF(G326="NÃO","Sem foto",IF(H326="NÃO","Sem assinatura","OK")))))))))</f>
        <v>OK</v>
      </c>
      <c r="S326" s="3" t="str">
        <f t="shared" ref="S326:S389" si="42">IF(A326="","",TEXT(A326,"mmm/yy"))</f>
        <v>jan/yy</v>
      </c>
      <c r="T326" s="3">
        <f t="shared" ref="T326:T389" si="43">IF(A326="","",WEEKNUM(A326,2))</f>
        <v>1</v>
      </c>
      <c r="U326" s="3">
        <f t="shared" ref="U326:U389" si="44">IF(A326="","",YEAR(A326))</f>
        <v>1900</v>
      </c>
      <c r="V326" s="6">
        <f t="shared" ref="V326:V389" si="45">IF(C326="","",Q326)</f>
        <v>0</v>
      </c>
      <c r="W326" s="3" t="str">
        <f t="shared" ref="W326:W389" si="46">IF(C326="","",IF(Q326&lt;0.85,"CRÍTICO",IF(Q326&lt;0.95,"ATENÇÃO","OK")))</f>
        <v>CRÍTICO</v>
      </c>
    </row>
    <row r="327" spans="1:23" x14ac:dyDescent="0.25">
      <c r="A327" s="2">
        <f>CONTROLE_DIARIO!A328</f>
        <v>0</v>
      </c>
      <c r="B327" s="51">
        <f>CONTROLE_DIARIO!B328</f>
        <v>0</v>
      </c>
      <c r="C327" s="3">
        <f>CONTROLE_DIARIO!C328</f>
        <v>0</v>
      </c>
      <c r="D327" s="3">
        <f>CONTROLE_DIARIO!D328</f>
        <v>0</v>
      </c>
      <c r="E327" s="3">
        <f>CONTROLE_DIARIO!E328</f>
        <v>0</v>
      </c>
      <c r="F327" s="3">
        <f>CONTROLE_DIARIO!F328</f>
        <v>0</v>
      </c>
      <c r="G327" s="3">
        <f>CONTROLE_DIARIO!G328</f>
        <v>0</v>
      </c>
      <c r="H327" s="3">
        <f>CONTROLE_DIARIO!H328</f>
        <v>0</v>
      </c>
      <c r="I327" s="3">
        <f>CONTROLE_DIARIO!I328</f>
        <v>0</v>
      </c>
      <c r="J327" s="3" t="str">
        <f>CONTROLE_DIARIO!J328</f>
        <v/>
      </c>
      <c r="K327" s="3" t="str">
        <f>CONTROLE_DIARIO!K328</f>
        <v/>
      </c>
      <c r="L327" s="51">
        <f>CONTROLE_DIARIO!L328</f>
        <v>0</v>
      </c>
      <c r="M327" s="51">
        <f>CONTROLE_DIARIO!M328</f>
        <v>0</v>
      </c>
      <c r="N327" s="3">
        <f>CONTROLE_DIARIO!N328</f>
        <v>0</v>
      </c>
      <c r="O327" s="3" t="str">
        <f>CONTROLE_DIARIO!O328</f>
        <v/>
      </c>
      <c r="P327" s="51" t="str">
        <f>CONTROLE_DIARIO!P328</f>
        <v/>
      </c>
      <c r="Q327" s="6">
        <f t="shared" si="40"/>
        <v>0</v>
      </c>
      <c r="R327" s="54" t="str">
        <f t="shared" si="41"/>
        <v>OK</v>
      </c>
      <c r="S327" s="3" t="str">
        <f t="shared" si="42"/>
        <v>jan/yy</v>
      </c>
      <c r="T327" s="3">
        <f t="shared" si="43"/>
        <v>1</v>
      </c>
      <c r="U327" s="3">
        <f t="shared" si="44"/>
        <v>1900</v>
      </c>
      <c r="V327" s="6">
        <f t="shared" si="45"/>
        <v>0</v>
      </c>
      <c r="W327" s="3" t="str">
        <f t="shared" si="46"/>
        <v>CRÍTICO</v>
      </c>
    </row>
    <row r="328" spans="1:23" x14ac:dyDescent="0.25">
      <c r="A328" s="2">
        <f>CONTROLE_DIARIO!A329</f>
        <v>0</v>
      </c>
      <c r="B328" s="51">
        <f>CONTROLE_DIARIO!B329</f>
        <v>0</v>
      </c>
      <c r="C328" s="3">
        <f>CONTROLE_DIARIO!C329</f>
        <v>0</v>
      </c>
      <c r="D328" s="3">
        <f>CONTROLE_DIARIO!D329</f>
        <v>0</v>
      </c>
      <c r="E328" s="3">
        <f>CONTROLE_DIARIO!E329</f>
        <v>0</v>
      </c>
      <c r="F328" s="3">
        <f>CONTROLE_DIARIO!F329</f>
        <v>0</v>
      </c>
      <c r="G328" s="3">
        <f>CONTROLE_DIARIO!G329</f>
        <v>0</v>
      </c>
      <c r="H328" s="3">
        <f>CONTROLE_DIARIO!H329</f>
        <v>0</v>
      </c>
      <c r="I328" s="3">
        <f>CONTROLE_DIARIO!I329</f>
        <v>0</v>
      </c>
      <c r="J328" s="3" t="str">
        <f>CONTROLE_DIARIO!J329</f>
        <v/>
      </c>
      <c r="K328" s="3" t="str">
        <f>CONTROLE_DIARIO!K329</f>
        <v/>
      </c>
      <c r="L328" s="51">
        <f>CONTROLE_DIARIO!L329</f>
        <v>0</v>
      </c>
      <c r="M328" s="51">
        <f>CONTROLE_DIARIO!M329</f>
        <v>0</v>
      </c>
      <c r="N328" s="3">
        <f>CONTROLE_DIARIO!N329</f>
        <v>0</v>
      </c>
      <c r="O328" s="3" t="str">
        <f>CONTROLE_DIARIO!O329</f>
        <v/>
      </c>
      <c r="P328" s="51" t="str">
        <f>CONTROLE_DIARIO!P329</f>
        <v/>
      </c>
      <c r="Q328" s="6">
        <f t="shared" si="40"/>
        <v>0</v>
      </c>
      <c r="R328" s="54" t="str">
        <f t="shared" si="41"/>
        <v>OK</v>
      </c>
      <c r="S328" s="3" t="str">
        <f t="shared" si="42"/>
        <v>jan/yy</v>
      </c>
      <c r="T328" s="3">
        <f t="shared" si="43"/>
        <v>1</v>
      </c>
      <c r="U328" s="3">
        <f t="shared" si="44"/>
        <v>1900</v>
      </c>
      <c r="V328" s="6">
        <f t="shared" si="45"/>
        <v>0</v>
      </c>
      <c r="W328" s="3" t="str">
        <f t="shared" si="46"/>
        <v>CRÍTICO</v>
      </c>
    </row>
    <row r="329" spans="1:23" x14ac:dyDescent="0.25">
      <c r="A329" s="2">
        <f>CONTROLE_DIARIO!A330</f>
        <v>0</v>
      </c>
      <c r="B329" s="51">
        <f>CONTROLE_DIARIO!B330</f>
        <v>0</v>
      </c>
      <c r="C329" s="3">
        <f>CONTROLE_DIARIO!C330</f>
        <v>0</v>
      </c>
      <c r="D329" s="3">
        <f>CONTROLE_DIARIO!D330</f>
        <v>0</v>
      </c>
      <c r="E329" s="3">
        <f>CONTROLE_DIARIO!E330</f>
        <v>0</v>
      </c>
      <c r="F329" s="3">
        <f>CONTROLE_DIARIO!F330</f>
        <v>0</v>
      </c>
      <c r="G329" s="3">
        <f>CONTROLE_DIARIO!G330</f>
        <v>0</v>
      </c>
      <c r="H329" s="3">
        <f>CONTROLE_DIARIO!H330</f>
        <v>0</v>
      </c>
      <c r="I329" s="3">
        <f>CONTROLE_DIARIO!I330</f>
        <v>0</v>
      </c>
      <c r="J329" s="3" t="str">
        <f>CONTROLE_DIARIO!J330</f>
        <v/>
      </c>
      <c r="K329" s="3" t="str">
        <f>CONTROLE_DIARIO!K330</f>
        <v/>
      </c>
      <c r="L329" s="51">
        <f>CONTROLE_DIARIO!L330</f>
        <v>0</v>
      </c>
      <c r="M329" s="51">
        <f>CONTROLE_DIARIO!M330</f>
        <v>0</v>
      </c>
      <c r="N329" s="3">
        <f>CONTROLE_DIARIO!N330</f>
        <v>0</v>
      </c>
      <c r="O329" s="3" t="str">
        <f>CONTROLE_DIARIO!O330</f>
        <v/>
      </c>
      <c r="P329" s="51" t="str">
        <f>CONTROLE_DIARIO!P330</f>
        <v/>
      </c>
      <c r="Q329" s="6">
        <f t="shared" si="40"/>
        <v>0</v>
      </c>
      <c r="R329" s="54" t="str">
        <f t="shared" si="41"/>
        <v>OK</v>
      </c>
      <c r="S329" s="3" t="str">
        <f t="shared" si="42"/>
        <v>jan/yy</v>
      </c>
      <c r="T329" s="3">
        <f t="shared" si="43"/>
        <v>1</v>
      </c>
      <c r="U329" s="3">
        <f t="shared" si="44"/>
        <v>1900</v>
      </c>
      <c r="V329" s="6">
        <f t="shared" si="45"/>
        <v>0</v>
      </c>
      <c r="W329" s="3" t="str">
        <f t="shared" si="46"/>
        <v>CRÍTICO</v>
      </c>
    </row>
    <row r="330" spans="1:23" x14ac:dyDescent="0.25">
      <c r="A330" s="2">
        <f>CONTROLE_DIARIO!A331</f>
        <v>0</v>
      </c>
      <c r="B330" s="51">
        <f>CONTROLE_DIARIO!B331</f>
        <v>0</v>
      </c>
      <c r="C330" s="3">
        <f>CONTROLE_DIARIO!C331</f>
        <v>0</v>
      </c>
      <c r="D330" s="3">
        <f>CONTROLE_DIARIO!D331</f>
        <v>0</v>
      </c>
      <c r="E330" s="3">
        <f>CONTROLE_DIARIO!E331</f>
        <v>0</v>
      </c>
      <c r="F330" s="3">
        <f>CONTROLE_DIARIO!F331</f>
        <v>0</v>
      </c>
      <c r="G330" s="3">
        <f>CONTROLE_DIARIO!G331</f>
        <v>0</v>
      </c>
      <c r="H330" s="3">
        <f>CONTROLE_DIARIO!H331</f>
        <v>0</v>
      </c>
      <c r="I330" s="3">
        <f>CONTROLE_DIARIO!I331</f>
        <v>0</v>
      </c>
      <c r="J330" s="3" t="str">
        <f>CONTROLE_DIARIO!J331</f>
        <v/>
      </c>
      <c r="K330" s="3" t="str">
        <f>CONTROLE_DIARIO!K331</f>
        <v/>
      </c>
      <c r="L330" s="51">
        <f>CONTROLE_DIARIO!L331</f>
        <v>0</v>
      </c>
      <c r="M330" s="51">
        <f>CONTROLE_DIARIO!M331</f>
        <v>0</v>
      </c>
      <c r="N330" s="3">
        <f>CONTROLE_DIARIO!N331</f>
        <v>0</v>
      </c>
      <c r="O330" s="3" t="str">
        <f>CONTROLE_DIARIO!O331</f>
        <v/>
      </c>
      <c r="P330" s="51" t="str">
        <f>CONTROLE_DIARIO!P331</f>
        <v/>
      </c>
      <c r="Q330" s="6">
        <f t="shared" si="40"/>
        <v>0</v>
      </c>
      <c r="R330" s="54" t="str">
        <f t="shared" si="41"/>
        <v>OK</v>
      </c>
      <c r="S330" s="3" t="str">
        <f t="shared" si="42"/>
        <v>jan/yy</v>
      </c>
      <c r="T330" s="3">
        <f t="shared" si="43"/>
        <v>1</v>
      </c>
      <c r="U330" s="3">
        <f t="shared" si="44"/>
        <v>1900</v>
      </c>
      <c r="V330" s="6">
        <f t="shared" si="45"/>
        <v>0</v>
      </c>
      <c r="W330" s="3" t="str">
        <f t="shared" si="46"/>
        <v>CRÍTICO</v>
      </c>
    </row>
    <row r="331" spans="1:23" x14ac:dyDescent="0.25">
      <c r="A331" s="2">
        <f>CONTROLE_DIARIO!A332</f>
        <v>0</v>
      </c>
      <c r="B331" s="51">
        <f>CONTROLE_DIARIO!B332</f>
        <v>0</v>
      </c>
      <c r="C331" s="3">
        <f>CONTROLE_DIARIO!C332</f>
        <v>0</v>
      </c>
      <c r="D331" s="3">
        <f>CONTROLE_DIARIO!D332</f>
        <v>0</v>
      </c>
      <c r="E331" s="3">
        <f>CONTROLE_DIARIO!E332</f>
        <v>0</v>
      </c>
      <c r="F331" s="3">
        <f>CONTROLE_DIARIO!F332</f>
        <v>0</v>
      </c>
      <c r="G331" s="3">
        <f>CONTROLE_DIARIO!G332</f>
        <v>0</v>
      </c>
      <c r="H331" s="3">
        <f>CONTROLE_DIARIO!H332</f>
        <v>0</v>
      </c>
      <c r="I331" s="3">
        <f>CONTROLE_DIARIO!I332</f>
        <v>0</v>
      </c>
      <c r="J331" s="3" t="str">
        <f>CONTROLE_DIARIO!J332</f>
        <v/>
      </c>
      <c r="K331" s="3" t="str">
        <f>CONTROLE_DIARIO!K332</f>
        <v/>
      </c>
      <c r="L331" s="51">
        <f>CONTROLE_DIARIO!L332</f>
        <v>0</v>
      </c>
      <c r="M331" s="51">
        <f>CONTROLE_DIARIO!M332</f>
        <v>0</v>
      </c>
      <c r="N331" s="3">
        <f>CONTROLE_DIARIO!N332</f>
        <v>0</v>
      </c>
      <c r="O331" s="3" t="str">
        <f>CONTROLE_DIARIO!O332</f>
        <v/>
      </c>
      <c r="P331" s="51" t="str">
        <f>CONTROLE_DIARIO!P332</f>
        <v/>
      </c>
      <c r="Q331" s="6">
        <f t="shared" si="40"/>
        <v>0</v>
      </c>
      <c r="R331" s="54" t="str">
        <f t="shared" si="41"/>
        <v>OK</v>
      </c>
      <c r="S331" s="3" t="str">
        <f t="shared" si="42"/>
        <v>jan/yy</v>
      </c>
      <c r="T331" s="3">
        <f t="shared" si="43"/>
        <v>1</v>
      </c>
      <c r="U331" s="3">
        <f t="shared" si="44"/>
        <v>1900</v>
      </c>
      <c r="V331" s="6">
        <f t="shared" si="45"/>
        <v>0</v>
      </c>
      <c r="W331" s="3" t="str">
        <f t="shared" si="46"/>
        <v>CRÍTICO</v>
      </c>
    </row>
    <row r="332" spans="1:23" x14ac:dyDescent="0.25">
      <c r="A332" s="2">
        <f>CONTROLE_DIARIO!A333</f>
        <v>0</v>
      </c>
      <c r="B332" s="51">
        <f>CONTROLE_DIARIO!B333</f>
        <v>0</v>
      </c>
      <c r="C332" s="3">
        <f>CONTROLE_DIARIO!C333</f>
        <v>0</v>
      </c>
      <c r="D332" s="3">
        <f>CONTROLE_DIARIO!D333</f>
        <v>0</v>
      </c>
      <c r="E332" s="3">
        <f>CONTROLE_DIARIO!E333</f>
        <v>0</v>
      </c>
      <c r="F332" s="3">
        <f>CONTROLE_DIARIO!F333</f>
        <v>0</v>
      </c>
      <c r="G332" s="3">
        <f>CONTROLE_DIARIO!G333</f>
        <v>0</v>
      </c>
      <c r="H332" s="3">
        <f>CONTROLE_DIARIO!H333</f>
        <v>0</v>
      </c>
      <c r="I332" s="3">
        <f>CONTROLE_DIARIO!I333</f>
        <v>0</v>
      </c>
      <c r="J332" s="3" t="str">
        <f>CONTROLE_DIARIO!J333</f>
        <v/>
      </c>
      <c r="K332" s="3" t="str">
        <f>CONTROLE_DIARIO!K333</f>
        <v/>
      </c>
      <c r="L332" s="51">
        <f>CONTROLE_DIARIO!L333</f>
        <v>0</v>
      </c>
      <c r="M332" s="51">
        <f>CONTROLE_DIARIO!M333</f>
        <v>0</v>
      </c>
      <c r="N332" s="3">
        <f>CONTROLE_DIARIO!N333</f>
        <v>0</v>
      </c>
      <c r="O332" s="3" t="str">
        <f>CONTROLE_DIARIO!O333</f>
        <v/>
      </c>
      <c r="P332" s="51" t="str">
        <f>CONTROLE_DIARIO!P333</f>
        <v/>
      </c>
      <c r="Q332" s="6">
        <f t="shared" si="40"/>
        <v>0</v>
      </c>
      <c r="R332" s="54" t="str">
        <f t="shared" si="41"/>
        <v>OK</v>
      </c>
      <c r="S332" s="3" t="str">
        <f t="shared" si="42"/>
        <v>jan/yy</v>
      </c>
      <c r="T332" s="3">
        <f t="shared" si="43"/>
        <v>1</v>
      </c>
      <c r="U332" s="3">
        <f t="shared" si="44"/>
        <v>1900</v>
      </c>
      <c r="V332" s="6">
        <f t="shared" si="45"/>
        <v>0</v>
      </c>
      <c r="W332" s="3" t="str">
        <f t="shared" si="46"/>
        <v>CRÍTICO</v>
      </c>
    </row>
    <row r="333" spans="1:23" x14ac:dyDescent="0.25">
      <c r="A333" s="2">
        <f>CONTROLE_DIARIO!A334</f>
        <v>0</v>
      </c>
      <c r="B333" s="51">
        <f>CONTROLE_DIARIO!B334</f>
        <v>0</v>
      </c>
      <c r="C333" s="3">
        <f>CONTROLE_DIARIO!C334</f>
        <v>0</v>
      </c>
      <c r="D333" s="3">
        <f>CONTROLE_DIARIO!D334</f>
        <v>0</v>
      </c>
      <c r="E333" s="3">
        <f>CONTROLE_DIARIO!E334</f>
        <v>0</v>
      </c>
      <c r="F333" s="3">
        <f>CONTROLE_DIARIO!F334</f>
        <v>0</v>
      </c>
      <c r="G333" s="3">
        <f>CONTROLE_DIARIO!G334</f>
        <v>0</v>
      </c>
      <c r="H333" s="3">
        <f>CONTROLE_DIARIO!H334</f>
        <v>0</v>
      </c>
      <c r="I333" s="3">
        <f>CONTROLE_DIARIO!I334</f>
        <v>0</v>
      </c>
      <c r="J333" s="3" t="str">
        <f>CONTROLE_DIARIO!J334</f>
        <v/>
      </c>
      <c r="K333" s="3" t="str">
        <f>CONTROLE_DIARIO!K334</f>
        <v/>
      </c>
      <c r="L333" s="51">
        <f>CONTROLE_DIARIO!L334</f>
        <v>0</v>
      </c>
      <c r="M333" s="51">
        <f>CONTROLE_DIARIO!M334</f>
        <v>0</v>
      </c>
      <c r="N333" s="3">
        <f>CONTROLE_DIARIO!N334</f>
        <v>0</v>
      </c>
      <c r="O333" s="3" t="str">
        <f>CONTROLE_DIARIO!O334</f>
        <v/>
      </c>
      <c r="P333" s="51" t="str">
        <f>CONTROLE_DIARIO!P334</f>
        <v/>
      </c>
      <c r="Q333" s="6">
        <f t="shared" si="40"/>
        <v>0</v>
      </c>
      <c r="R333" s="54" t="str">
        <f t="shared" si="41"/>
        <v>OK</v>
      </c>
      <c r="S333" s="3" t="str">
        <f t="shared" si="42"/>
        <v>jan/yy</v>
      </c>
      <c r="T333" s="3">
        <f t="shared" si="43"/>
        <v>1</v>
      </c>
      <c r="U333" s="3">
        <f t="shared" si="44"/>
        <v>1900</v>
      </c>
      <c r="V333" s="6">
        <f t="shared" si="45"/>
        <v>0</v>
      </c>
      <c r="W333" s="3" t="str">
        <f t="shared" si="46"/>
        <v>CRÍTICO</v>
      </c>
    </row>
    <row r="334" spans="1:23" x14ac:dyDescent="0.25">
      <c r="A334" s="2">
        <f>CONTROLE_DIARIO!A335</f>
        <v>0</v>
      </c>
      <c r="B334" s="51">
        <f>CONTROLE_DIARIO!B335</f>
        <v>0</v>
      </c>
      <c r="C334" s="3">
        <f>CONTROLE_DIARIO!C335</f>
        <v>0</v>
      </c>
      <c r="D334" s="3">
        <f>CONTROLE_DIARIO!D335</f>
        <v>0</v>
      </c>
      <c r="E334" s="3">
        <f>CONTROLE_DIARIO!E335</f>
        <v>0</v>
      </c>
      <c r="F334" s="3">
        <f>CONTROLE_DIARIO!F335</f>
        <v>0</v>
      </c>
      <c r="G334" s="3">
        <f>CONTROLE_DIARIO!G335</f>
        <v>0</v>
      </c>
      <c r="H334" s="3">
        <f>CONTROLE_DIARIO!H335</f>
        <v>0</v>
      </c>
      <c r="I334" s="3">
        <f>CONTROLE_DIARIO!I335</f>
        <v>0</v>
      </c>
      <c r="J334" s="3" t="str">
        <f>CONTROLE_DIARIO!J335</f>
        <v/>
      </c>
      <c r="K334" s="3" t="str">
        <f>CONTROLE_DIARIO!K335</f>
        <v/>
      </c>
      <c r="L334" s="51">
        <f>CONTROLE_DIARIO!L335</f>
        <v>0</v>
      </c>
      <c r="M334" s="51">
        <f>CONTROLE_DIARIO!M335</f>
        <v>0</v>
      </c>
      <c r="N334" s="3">
        <f>CONTROLE_DIARIO!N335</f>
        <v>0</v>
      </c>
      <c r="O334" s="3" t="str">
        <f>CONTROLE_DIARIO!O335</f>
        <v/>
      </c>
      <c r="P334" s="51" t="str">
        <f>CONTROLE_DIARIO!P335</f>
        <v/>
      </c>
      <c r="Q334" s="6">
        <f t="shared" si="40"/>
        <v>0</v>
      </c>
      <c r="R334" s="54" t="str">
        <f t="shared" si="41"/>
        <v>OK</v>
      </c>
      <c r="S334" s="3" t="str">
        <f t="shared" si="42"/>
        <v>jan/yy</v>
      </c>
      <c r="T334" s="3">
        <f t="shared" si="43"/>
        <v>1</v>
      </c>
      <c r="U334" s="3">
        <f t="shared" si="44"/>
        <v>1900</v>
      </c>
      <c r="V334" s="6">
        <f t="shared" si="45"/>
        <v>0</v>
      </c>
      <c r="W334" s="3" t="str">
        <f t="shared" si="46"/>
        <v>CRÍTICO</v>
      </c>
    </row>
    <row r="335" spans="1:23" x14ac:dyDescent="0.25">
      <c r="A335" s="2">
        <f>CONTROLE_DIARIO!A336</f>
        <v>0</v>
      </c>
      <c r="B335" s="51">
        <f>CONTROLE_DIARIO!B336</f>
        <v>0</v>
      </c>
      <c r="C335" s="3">
        <f>CONTROLE_DIARIO!C336</f>
        <v>0</v>
      </c>
      <c r="D335" s="3">
        <f>CONTROLE_DIARIO!D336</f>
        <v>0</v>
      </c>
      <c r="E335" s="3">
        <f>CONTROLE_DIARIO!E336</f>
        <v>0</v>
      </c>
      <c r="F335" s="3">
        <f>CONTROLE_DIARIO!F336</f>
        <v>0</v>
      </c>
      <c r="G335" s="3">
        <f>CONTROLE_DIARIO!G336</f>
        <v>0</v>
      </c>
      <c r="H335" s="3">
        <f>CONTROLE_DIARIO!H336</f>
        <v>0</v>
      </c>
      <c r="I335" s="3">
        <f>CONTROLE_DIARIO!I336</f>
        <v>0</v>
      </c>
      <c r="J335" s="3" t="str">
        <f>CONTROLE_DIARIO!J336</f>
        <v/>
      </c>
      <c r="K335" s="3" t="str">
        <f>CONTROLE_DIARIO!K336</f>
        <v/>
      </c>
      <c r="L335" s="51">
        <f>CONTROLE_DIARIO!L336</f>
        <v>0</v>
      </c>
      <c r="M335" s="51">
        <f>CONTROLE_DIARIO!M336</f>
        <v>0</v>
      </c>
      <c r="N335" s="3">
        <f>CONTROLE_DIARIO!N336</f>
        <v>0</v>
      </c>
      <c r="O335" s="3" t="str">
        <f>CONTROLE_DIARIO!O336</f>
        <v/>
      </c>
      <c r="P335" s="51" t="str">
        <f>CONTROLE_DIARIO!P336</f>
        <v/>
      </c>
      <c r="Q335" s="6">
        <f t="shared" si="40"/>
        <v>0</v>
      </c>
      <c r="R335" s="54" t="str">
        <f t="shared" si="41"/>
        <v>OK</v>
      </c>
      <c r="S335" s="3" t="str">
        <f t="shared" si="42"/>
        <v>jan/yy</v>
      </c>
      <c r="T335" s="3">
        <f t="shared" si="43"/>
        <v>1</v>
      </c>
      <c r="U335" s="3">
        <f t="shared" si="44"/>
        <v>1900</v>
      </c>
      <c r="V335" s="6">
        <f t="shared" si="45"/>
        <v>0</v>
      </c>
      <c r="W335" s="3" t="str">
        <f t="shared" si="46"/>
        <v>CRÍTICO</v>
      </c>
    </row>
    <row r="336" spans="1:23" x14ac:dyDescent="0.25">
      <c r="A336" s="2">
        <f>CONTROLE_DIARIO!A337</f>
        <v>0</v>
      </c>
      <c r="B336" s="51">
        <f>CONTROLE_DIARIO!B337</f>
        <v>0</v>
      </c>
      <c r="C336" s="3">
        <f>CONTROLE_DIARIO!C337</f>
        <v>0</v>
      </c>
      <c r="D336" s="3">
        <f>CONTROLE_DIARIO!D337</f>
        <v>0</v>
      </c>
      <c r="E336" s="3">
        <f>CONTROLE_DIARIO!E337</f>
        <v>0</v>
      </c>
      <c r="F336" s="3">
        <f>CONTROLE_DIARIO!F337</f>
        <v>0</v>
      </c>
      <c r="G336" s="3">
        <f>CONTROLE_DIARIO!G337</f>
        <v>0</v>
      </c>
      <c r="H336" s="3">
        <f>CONTROLE_DIARIO!H337</f>
        <v>0</v>
      </c>
      <c r="I336" s="3">
        <f>CONTROLE_DIARIO!I337</f>
        <v>0</v>
      </c>
      <c r="J336" s="3" t="str">
        <f>CONTROLE_DIARIO!J337</f>
        <v/>
      </c>
      <c r="K336" s="3" t="str">
        <f>CONTROLE_DIARIO!K337</f>
        <v/>
      </c>
      <c r="L336" s="51">
        <f>CONTROLE_DIARIO!L337</f>
        <v>0</v>
      </c>
      <c r="M336" s="51">
        <f>CONTROLE_DIARIO!M337</f>
        <v>0</v>
      </c>
      <c r="N336" s="3">
        <f>CONTROLE_DIARIO!N337</f>
        <v>0</v>
      </c>
      <c r="O336" s="3" t="str">
        <f>CONTROLE_DIARIO!O337</f>
        <v/>
      </c>
      <c r="P336" s="51" t="str">
        <f>CONTROLE_DIARIO!P337</f>
        <v/>
      </c>
      <c r="Q336" s="6">
        <f t="shared" si="40"/>
        <v>0</v>
      </c>
      <c r="R336" s="54" t="str">
        <f t="shared" si="41"/>
        <v>OK</v>
      </c>
      <c r="S336" s="3" t="str">
        <f t="shared" si="42"/>
        <v>jan/yy</v>
      </c>
      <c r="T336" s="3">
        <f t="shared" si="43"/>
        <v>1</v>
      </c>
      <c r="U336" s="3">
        <f t="shared" si="44"/>
        <v>1900</v>
      </c>
      <c r="V336" s="6">
        <f t="shared" si="45"/>
        <v>0</v>
      </c>
      <c r="W336" s="3" t="str">
        <f t="shared" si="46"/>
        <v>CRÍTICO</v>
      </c>
    </row>
    <row r="337" spans="1:23" x14ac:dyDescent="0.25">
      <c r="A337" s="2">
        <f>CONTROLE_DIARIO!A338</f>
        <v>0</v>
      </c>
      <c r="B337" s="51">
        <f>CONTROLE_DIARIO!B338</f>
        <v>0</v>
      </c>
      <c r="C337" s="3">
        <f>CONTROLE_DIARIO!C338</f>
        <v>0</v>
      </c>
      <c r="D337" s="3">
        <f>CONTROLE_DIARIO!D338</f>
        <v>0</v>
      </c>
      <c r="E337" s="3">
        <f>CONTROLE_DIARIO!E338</f>
        <v>0</v>
      </c>
      <c r="F337" s="3">
        <f>CONTROLE_DIARIO!F338</f>
        <v>0</v>
      </c>
      <c r="G337" s="3">
        <f>CONTROLE_DIARIO!G338</f>
        <v>0</v>
      </c>
      <c r="H337" s="3">
        <f>CONTROLE_DIARIO!H338</f>
        <v>0</v>
      </c>
      <c r="I337" s="3">
        <f>CONTROLE_DIARIO!I338</f>
        <v>0</v>
      </c>
      <c r="J337" s="3" t="str">
        <f>CONTROLE_DIARIO!J338</f>
        <v/>
      </c>
      <c r="K337" s="3" t="str">
        <f>CONTROLE_DIARIO!K338</f>
        <v/>
      </c>
      <c r="L337" s="51">
        <f>CONTROLE_DIARIO!L338</f>
        <v>0</v>
      </c>
      <c r="M337" s="51">
        <f>CONTROLE_DIARIO!M338</f>
        <v>0</v>
      </c>
      <c r="N337" s="3">
        <f>CONTROLE_DIARIO!N338</f>
        <v>0</v>
      </c>
      <c r="O337" s="3" t="str">
        <f>CONTROLE_DIARIO!O338</f>
        <v/>
      </c>
      <c r="P337" s="51" t="str">
        <f>CONTROLE_DIARIO!P338</f>
        <v/>
      </c>
      <c r="Q337" s="6">
        <f t="shared" si="40"/>
        <v>0</v>
      </c>
      <c r="R337" s="54" t="str">
        <f t="shared" si="41"/>
        <v>OK</v>
      </c>
      <c r="S337" s="3" t="str">
        <f t="shared" si="42"/>
        <v>jan/yy</v>
      </c>
      <c r="T337" s="3">
        <f t="shared" si="43"/>
        <v>1</v>
      </c>
      <c r="U337" s="3">
        <f t="shared" si="44"/>
        <v>1900</v>
      </c>
      <c r="V337" s="6">
        <f t="shared" si="45"/>
        <v>0</v>
      </c>
      <c r="W337" s="3" t="str">
        <f t="shared" si="46"/>
        <v>CRÍTICO</v>
      </c>
    </row>
    <row r="338" spans="1:23" x14ac:dyDescent="0.25">
      <c r="A338" s="2">
        <f>CONTROLE_DIARIO!A339</f>
        <v>0</v>
      </c>
      <c r="B338" s="51">
        <f>CONTROLE_DIARIO!B339</f>
        <v>0</v>
      </c>
      <c r="C338" s="3">
        <f>CONTROLE_DIARIO!C339</f>
        <v>0</v>
      </c>
      <c r="D338" s="3">
        <f>CONTROLE_DIARIO!D339</f>
        <v>0</v>
      </c>
      <c r="E338" s="3">
        <f>CONTROLE_DIARIO!E339</f>
        <v>0</v>
      </c>
      <c r="F338" s="3">
        <f>CONTROLE_DIARIO!F339</f>
        <v>0</v>
      </c>
      <c r="G338" s="3">
        <f>CONTROLE_DIARIO!G339</f>
        <v>0</v>
      </c>
      <c r="H338" s="3">
        <f>CONTROLE_DIARIO!H339</f>
        <v>0</v>
      </c>
      <c r="I338" s="3">
        <f>CONTROLE_DIARIO!I339</f>
        <v>0</v>
      </c>
      <c r="J338" s="3" t="str">
        <f>CONTROLE_DIARIO!J339</f>
        <v/>
      </c>
      <c r="K338" s="3" t="str">
        <f>CONTROLE_DIARIO!K339</f>
        <v/>
      </c>
      <c r="L338" s="51">
        <f>CONTROLE_DIARIO!L339</f>
        <v>0</v>
      </c>
      <c r="M338" s="51">
        <f>CONTROLE_DIARIO!M339</f>
        <v>0</v>
      </c>
      <c r="N338" s="3">
        <f>CONTROLE_DIARIO!N339</f>
        <v>0</v>
      </c>
      <c r="O338" s="3" t="str">
        <f>CONTROLE_DIARIO!O339</f>
        <v/>
      </c>
      <c r="P338" s="51" t="str">
        <f>CONTROLE_DIARIO!P339</f>
        <v/>
      </c>
      <c r="Q338" s="6">
        <f t="shared" si="40"/>
        <v>0</v>
      </c>
      <c r="R338" s="54" t="str">
        <f t="shared" si="41"/>
        <v>OK</v>
      </c>
      <c r="S338" s="3" t="str">
        <f t="shared" si="42"/>
        <v>jan/yy</v>
      </c>
      <c r="T338" s="3">
        <f t="shared" si="43"/>
        <v>1</v>
      </c>
      <c r="U338" s="3">
        <f t="shared" si="44"/>
        <v>1900</v>
      </c>
      <c r="V338" s="6">
        <f t="shared" si="45"/>
        <v>0</v>
      </c>
      <c r="W338" s="3" t="str">
        <f t="shared" si="46"/>
        <v>CRÍTICO</v>
      </c>
    </row>
    <row r="339" spans="1:23" x14ac:dyDescent="0.25">
      <c r="A339" s="2">
        <f>CONTROLE_DIARIO!A340</f>
        <v>0</v>
      </c>
      <c r="B339" s="51">
        <f>CONTROLE_DIARIO!B340</f>
        <v>0</v>
      </c>
      <c r="C339" s="3">
        <f>CONTROLE_DIARIO!C340</f>
        <v>0</v>
      </c>
      <c r="D339" s="3">
        <f>CONTROLE_DIARIO!D340</f>
        <v>0</v>
      </c>
      <c r="E339" s="3">
        <f>CONTROLE_DIARIO!E340</f>
        <v>0</v>
      </c>
      <c r="F339" s="3">
        <f>CONTROLE_DIARIO!F340</f>
        <v>0</v>
      </c>
      <c r="G339" s="3">
        <f>CONTROLE_DIARIO!G340</f>
        <v>0</v>
      </c>
      <c r="H339" s="3">
        <f>CONTROLE_DIARIO!H340</f>
        <v>0</v>
      </c>
      <c r="I339" s="3">
        <f>CONTROLE_DIARIO!I340</f>
        <v>0</v>
      </c>
      <c r="J339" s="3" t="str">
        <f>CONTROLE_DIARIO!J340</f>
        <v/>
      </c>
      <c r="K339" s="3" t="str">
        <f>CONTROLE_DIARIO!K340</f>
        <v/>
      </c>
      <c r="L339" s="51">
        <f>CONTROLE_DIARIO!L340</f>
        <v>0</v>
      </c>
      <c r="M339" s="51">
        <f>CONTROLE_DIARIO!M340</f>
        <v>0</v>
      </c>
      <c r="N339" s="3">
        <f>CONTROLE_DIARIO!N340</f>
        <v>0</v>
      </c>
      <c r="O339" s="3" t="str">
        <f>CONTROLE_DIARIO!O340</f>
        <v/>
      </c>
      <c r="P339" s="51" t="str">
        <f>CONTROLE_DIARIO!P340</f>
        <v/>
      </c>
      <c r="Q339" s="6">
        <f t="shared" si="40"/>
        <v>0</v>
      </c>
      <c r="R339" s="54" t="str">
        <f t="shared" si="41"/>
        <v>OK</v>
      </c>
      <c r="S339" s="3" t="str">
        <f t="shared" si="42"/>
        <v>jan/yy</v>
      </c>
      <c r="T339" s="3">
        <f t="shared" si="43"/>
        <v>1</v>
      </c>
      <c r="U339" s="3">
        <f t="shared" si="44"/>
        <v>1900</v>
      </c>
      <c r="V339" s="6">
        <f t="shared" si="45"/>
        <v>0</v>
      </c>
      <c r="W339" s="3" t="str">
        <f t="shared" si="46"/>
        <v>CRÍTICO</v>
      </c>
    </row>
    <row r="340" spans="1:23" x14ac:dyDescent="0.25">
      <c r="A340" s="2">
        <f>CONTROLE_DIARIO!A341</f>
        <v>0</v>
      </c>
      <c r="B340" s="51">
        <f>CONTROLE_DIARIO!B341</f>
        <v>0</v>
      </c>
      <c r="C340" s="3">
        <f>CONTROLE_DIARIO!C341</f>
        <v>0</v>
      </c>
      <c r="D340" s="3">
        <f>CONTROLE_DIARIO!D341</f>
        <v>0</v>
      </c>
      <c r="E340" s="3">
        <f>CONTROLE_DIARIO!E341</f>
        <v>0</v>
      </c>
      <c r="F340" s="3">
        <f>CONTROLE_DIARIO!F341</f>
        <v>0</v>
      </c>
      <c r="G340" s="3">
        <f>CONTROLE_DIARIO!G341</f>
        <v>0</v>
      </c>
      <c r="H340" s="3">
        <f>CONTROLE_DIARIO!H341</f>
        <v>0</v>
      </c>
      <c r="I340" s="3">
        <f>CONTROLE_DIARIO!I341</f>
        <v>0</v>
      </c>
      <c r="J340" s="3" t="str">
        <f>CONTROLE_DIARIO!J341</f>
        <v/>
      </c>
      <c r="K340" s="3" t="str">
        <f>CONTROLE_DIARIO!K341</f>
        <v/>
      </c>
      <c r="L340" s="51">
        <f>CONTROLE_DIARIO!L341</f>
        <v>0</v>
      </c>
      <c r="M340" s="51">
        <f>CONTROLE_DIARIO!M341</f>
        <v>0</v>
      </c>
      <c r="N340" s="3">
        <f>CONTROLE_DIARIO!N341</f>
        <v>0</v>
      </c>
      <c r="O340" s="3" t="str">
        <f>CONTROLE_DIARIO!O341</f>
        <v/>
      </c>
      <c r="P340" s="51" t="str">
        <f>CONTROLE_DIARIO!P341</f>
        <v/>
      </c>
      <c r="Q340" s="6">
        <f t="shared" si="40"/>
        <v>0</v>
      </c>
      <c r="R340" s="54" t="str">
        <f t="shared" si="41"/>
        <v>OK</v>
      </c>
      <c r="S340" s="3" t="str">
        <f t="shared" si="42"/>
        <v>jan/yy</v>
      </c>
      <c r="T340" s="3">
        <f t="shared" si="43"/>
        <v>1</v>
      </c>
      <c r="U340" s="3">
        <f t="shared" si="44"/>
        <v>1900</v>
      </c>
      <c r="V340" s="6">
        <f t="shared" si="45"/>
        <v>0</v>
      </c>
      <c r="W340" s="3" t="str">
        <f t="shared" si="46"/>
        <v>CRÍTICO</v>
      </c>
    </row>
    <row r="341" spans="1:23" x14ac:dyDescent="0.25">
      <c r="A341" s="2">
        <f>CONTROLE_DIARIO!A342</f>
        <v>0</v>
      </c>
      <c r="B341" s="51">
        <f>CONTROLE_DIARIO!B342</f>
        <v>0</v>
      </c>
      <c r="C341" s="3">
        <f>CONTROLE_DIARIO!C342</f>
        <v>0</v>
      </c>
      <c r="D341" s="3">
        <f>CONTROLE_DIARIO!D342</f>
        <v>0</v>
      </c>
      <c r="E341" s="3">
        <f>CONTROLE_DIARIO!E342</f>
        <v>0</v>
      </c>
      <c r="F341" s="3">
        <f>CONTROLE_DIARIO!F342</f>
        <v>0</v>
      </c>
      <c r="G341" s="3">
        <f>CONTROLE_DIARIO!G342</f>
        <v>0</v>
      </c>
      <c r="H341" s="3">
        <f>CONTROLE_DIARIO!H342</f>
        <v>0</v>
      </c>
      <c r="I341" s="3">
        <f>CONTROLE_DIARIO!I342</f>
        <v>0</v>
      </c>
      <c r="J341" s="3" t="str">
        <f>CONTROLE_DIARIO!J342</f>
        <v/>
      </c>
      <c r="K341" s="3" t="str">
        <f>CONTROLE_DIARIO!K342</f>
        <v/>
      </c>
      <c r="L341" s="51">
        <f>CONTROLE_DIARIO!L342</f>
        <v>0</v>
      </c>
      <c r="M341" s="51">
        <f>CONTROLE_DIARIO!M342</f>
        <v>0</v>
      </c>
      <c r="N341" s="3">
        <f>CONTROLE_DIARIO!N342</f>
        <v>0</v>
      </c>
      <c r="O341" s="3" t="str">
        <f>CONTROLE_DIARIO!O342</f>
        <v/>
      </c>
      <c r="P341" s="51" t="str">
        <f>CONTROLE_DIARIO!P342</f>
        <v/>
      </c>
      <c r="Q341" s="6">
        <f t="shared" si="40"/>
        <v>0</v>
      </c>
      <c r="R341" s="54" t="str">
        <f t="shared" si="41"/>
        <v>OK</v>
      </c>
      <c r="S341" s="3" t="str">
        <f t="shared" si="42"/>
        <v>jan/yy</v>
      </c>
      <c r="T341" s="3">
        <f t="shared" si="43"/>
        <v>1</v>
      </c>
      <c r="U341" s="3">
        <f t="shared" si="44"/>
        <v>1900</v>
      </c>
      <c r="V341" s="6">
        <f t="shared" si="45"/>
        <v>0</v>
      </c>
      <c r="W341" s="3" t="str">
        <f t="shared" si="46"/>
        <v>CRÍTICO</v>
      </c>
    </row>
    <row r="342" spans="1:23" x14ac:dyDescent="0.25">
      <c r="A342" s="2">
        <f>CONTROLE_DIARIO!A343</f>
        <v>0</v>
      </c>
      <c r="B342" s="51">
        <f>CONTROLE_DIARIO!B343</f>
        <v>0</v>
      </c>
      <c r="C342" s="3">
        <f>CONTROLE_DIARIO!C343</f>
        <v>0</v>
      </c>
      <c r="D342" s="3">
        <f>CONTROLE_DIARIO!D343</f>
        <v>0</v>
      </c>
      <c r="E342" s="3">
        <f>CONTROLE_DIARIO!E343</f>
        <v>0</v>
      </c>
      <c r="F342" s="3">
        <f>CONTROLE_DIARIO!F343</f>
        <v>0</v>
      </c>
      <c r="G342" s="3">
        <f>CONTROLE_DIARIO!G343</f>
        <v>0</v>
      </c>
      <c r="H342" s="3">
        <f>CONTROLE_DIARIO!H343</f>
        <v>0</v>
      </c>
      <c r="I342" s="3">
        <f>CONTROLE_DIARIO!I343</f>
        <v>0</v>
      </c>
      <c r="J342" s="3" t="str">
        <f>CONTROLE_DIARIO!J343</f>
        <v/>
      </c>
      <c r="K342" s="3" t="str">
        <f>CONTROLE_DIARIO!K343</f>
        <v/>
      </c>
      <c r="L342" s="51">
        <f>CONTROLE_DIARIO!L343</f>
        <v>0</v>
      </c>
      <c r="M342" s="51">
        <f>CONTROLE_DIARIO!M343</f>
        <v>0</v>
      </c>
      <c r="N342" s="3">
        <f>CONTROLE_DIARIO!N343</f>
        <v>0</v>
      </c>
      <c r="O342" s="3" t="str">
        <f>CONTROLE_DIARIO!O343</f>
        <v/>
      </c>
      <c r="P342" s="51" t="str">
        <f>CONTROLE_DIARIO!P343</f>
        <v/>
      </c>
      <c r="Q342" s="6">
        <f t="shared" si="40"/>
        <v>0</v>
      </c>
      <c r="R342" s="54" t="str">
        <f t="shared" si="41"/>
        <v>OK</v>
      </c>
      <c r="S342" s="3" t="str">
        <f t="shared" si="42"/>
        <v>jan/yy</v>
      </c>
      <c r="T342" s="3">
        <f t="shared" si="43"/>
        <v>1</v>
      </c>
      <c r="U342" s="3">
        <f t="shared" si="44"/>
        <v>1900</v>
      </c>
      <c r="V342" s="6">
        <f t="shared" si="45"/>
        <v>0</v>
      </c>
      <c r="W342" s="3" t="str">
        <f t="shared" si="46"/>
        <v>CRÍTICO</v>
      </c>
    </row>
    <row r="343" spans="1:23" x14ac:dyDescent="0.25">
      <c r="A343" s="2">
        <f>CONTROLE_DIARIO!A344</f>
        <v>0</v>
      </c>
      <c r="B343" s="51">
        <f>CONTROLE_DIARIO!B344</f>
        <v>0</v>
      </c>
      <c r="C343" s="3">
        <f>CONTROLE_DIARIO!C344</f>
        <v>0</v>
      </c>
      <c r="D343" s="3">
        <f>CONTROLE_DIARIO!D344</f>
        <v>0</v>
      </c>
      <c r="E343" s="3">
        <f>CONTROLE_DIARIO!E344</f>
        <v>0</v>
      </c>
      <c r="F343" s="3">
        <f>CONTROLE_DIARIO!F344</f>
        <v>0</v>
      </c>
      <c r="G343" s="3">
        <f>CONTROLE_DIARIO!G344</f>
        <v>0</v>
      </c>
      <c r="H343" s="3">
        <f>CONTROLE_DIARIO!H344</f>
        <v>0</v>
      </c>
      <c r="I343" s="3">
        <f>CONTROLE_DIARIO!I344</f>
        <v>0</v>
      </c>
      <c r="J343" s="3" t="str">
        <f>CONTROLE_DIARIO!J344</f>
        <v/>
      </c>
      <c r="K343" s="3" t="str">
        <f>CONTROLE_DIARIO!K344</f>
        <v/>
      </c>
      <c r="L343" s="51">
        <f>CONTROLE_DIARIO!L344</f>
        <v>0</v>
      </c>
      <c r="M343" s="51">
        <f>CONTROLE_DIARIO!M344</f>
        <v>0</v>
      </c>
      <c r="N343" s="3">
        <f>CONTROLE_DIARIO!N344</f>
        <v>0</v>
      </c>
      <c r="O343" s="3" t="str">
        <f>CONTROLE_DIARIO!O344</f>
        <v/>
      </c>
      <c r="P343" s="51" t="str">
        <f>CONTROLE_DIARIO!P344</f>
        <v/>
      </c>
      <c r="Q343" s="6">
        <f t="shared" si="40"/>
        <v>0</v>
      </c>
      <c r="R343" s="54" t="str">
        <f t="shared" si="41"/>
        <v>OK</v>
      </c>
      <c r="S343" s="3" t="str">
        <f t="shared" si="42"/>
        <v>jan/yy</v>
      </c>
      <c r="T343" s="3">
        <f t="shared" si="43"/>
        <v>1</v>
      </c>
      <c r="U343" s="3">
        <f t="shared" si="44"/>
        <v>1900</v>
      </c>
      <c r="V343" s="6">
        <f t="shared" si="45"/>
        <v>0</v>
      </c>
      <c r="W343" s="3" t="str">
        <f t="shared" si="46"/>
        <v>CRÍTICO</v>
      </c>
    </row>
    <row r="344" spans="1:23" x14ac:dyDescent="0.25">
      <c r="A344" s="2">
        <f>CONTROLE_DIARIO!A345</f>
        <v>0</v>
      </c>
      <c r="B344" s="51">
        <f>CONTROLE_DIARIO!B345</f>
        <v>0</v>
      </c>
      <c r="C344" s="3">
        <f>CONTROLE_DIARIO!C345</f>
        <v>0</v>
      </c>
      <c r="D344" s="3">
        <f>CONTROLE_DIARIO!D345</f>
        <v>0</v>
      </c>
      <c r="E344" s="3">
        <f>CONTROLE_DIARIO!E345</f>
        <v>0</v>
      </c>
      <c r="F344" s="3">
        <f>CONTROLE_DIARIO!F345</f>
        <v>0</v>
      </c>
      <c r="G344" s="3">
        <f>CONTROLE_DIARIO!G345</f>
        <v>0</v>
      </c>
      <c r="H344" s="3">
        <f>CONTROLE_DIARIO!H345</f>
        <v>0</v>
      </c>
      <c r="I344" s="3">
        <f>CONTROLE_DIARIO!I345</f>
        <v>0</v>
      </c>
      <c r="J344" s="3" t="str">
        <f>CONTROLE_DIARIO!J345</f>
        <v/>
      </c>
      <c r="K344" s="3" t="str">
        <f>CONTROLE_DIARIO!K345</f>
        <v/>
      </c>
      <c r="L344" s="51">
        <f>CONTROLE_DIARIO!L345</f>
        <v>0</v>
      </c>
      <c r="M344" s="51">
        <f>CONTROLE_DIARIO!M345</f>
        <v>0</v>
      </c>
      <c r="N344" s="3">
        <f>CONTROLE_DIARIO!N345</f>
        <v>0</v>
      </c>
      <c r="O344" s="3" t="str">
        <f>CONTROLE_DIARIO!O345</f>
        <v/>
      </c>
      <c r="P344" s="51" t="str">
        <f>CONTROLE_DIARIO!P345</f>
        <v/>
      </c>
      <c r="Q344" s="6">
        <f t="shared" si="40"/>
        <v>0</v>
      </c>
      <c r="R344" s="54" t="str">
        <f t="shared" si="41"/>
        <v>OK</v>
      </c>
      <c r="S344" s="3" t="str">
        <f t="shared" si="42"/>
        <v>jan/yy</v>
      </c>
      <c r="T344" s="3">
        <f t="shared" si="43"/>
        <v>1</v>
      </c>
      <c r="U344" s="3">
        <f t="shared" si="44"/>
        <v>1900</v>
      </c>
      <c r="V344" s="6">
        <f t="shared" si="45"/>
        <v>0</v>
      </c>
      <c r="W344" s="3" t="str">
        <f t="shared" si="46"/>
        <v>CRÍTICO</v>
      </c>
    </row>
    <row r="345" spans="1:23" x14ac:dyDescent="0.25">
      <c r="A345" s="2">
        <f>CONTROLE_DIARIO!A346</f>
        <v>0</v>
      </c>
      <c r="B345" s="51">
        <f>CONTROLE_DIARIO!B346</f>
        <v>0</v>
      </c>
      <c r="C345" s="3">
        <f>CONTROLE_DIARIO!C346</f>
        <v>0</v>
      </c>
      <c r="D345" s="3">
        <f>CONTROLE_DIARIO!D346</f>
        <v>0</v>
      </c>
      <c r="E345" s="3">
        <f>CONTROLE_DIARIO!E346</f>
        <v>0</v>
      </c>
      <c r="F345" s="3">
        <f>CONTROLE_DIARIO!F346</f>
        <v>0</v>
      </c>
      <c r="G345" s="3">
        <f>CONTROLE_DIARIO!G346</f>
        <v>0</v>
      </c>
      <c r="H345" s="3">
        <f>CONTROLE_DIARIO!H346</f>
        <v>0</v>
      </c>
      <c r="I345" s="3">
        <f>CONTROLE_DIARIO!I346</f>
        <v>0</v>
      </c>
      <c r="J345" s="3" t="str">
        <f>CONTROLE_DIARIO!J346</f>
        <v/>
      </c>
      <c r="K345" s="3" t="str">
        <f>CONTROLE_DIARIO!K346</f>
        <v/>
      </c>
      <c r="L345" s="51">
        <f>CONTROLE_DIARIO!L346</f>
        <v>0</v>
      </c>
      <c r="M345" s="51">
        <f>CONTROLE_DIARIO!M346</f>
        <v>0</v>
      </c>
      <c r="N345" s="3">
        <f>CONTROLE_DIARIO!N346</f>
        <v>0</v>
      </c>
      <c r="O345" s="3" t="str">
        <f>CONTROLE_DIARIO!O346</f>
        <v/>
      </c>
      <c r="P345" s="51" t="str">
        <f>CONTROLE_DIARIO!P346</f>
        <v/>
      </c>
      <c r="Q345" s="6">
        <f t="shared" si="40"/>
        <v>0</v>
      </c>
      <c r="R345" s="54" t="str">
        <f t="shared" si="41"/>
        <v>OK</v>
      </c>
      <c r="S345" s="3" t="str">
        <f t="shared" si="42"/>
        <v>jan/yy</v>
      </c>
      <c r="T345" s="3">
        <f t="shared" si="43"/>
        <v>1</v>
      </c>
      <c r="U345" s="3">
        <f t="shared" si="44"/>
        <v>1900</v>
      </c>
      <c r="V345" s="6">
        <f t="shared" si="45"/>
        <v>0</v>
      </c>
      <c r="W345" s="3" t="str">
        <f t="shared" si="46"/>
        <v>CRÍTICO</v>
      </c>
    </row>
    <row r="346" spans="1:23" x14ac:dyDescent="0.25">
      <c r="A346" s="2">
        <f>CONTROLE_DIARIO!A347</f>
        <v>0</v>
      </c>
      <c r="B346" s="51">
        <f>CONTROLE_DIARIO!B347</f>
        <v>0</v>
      </c>
      <c r="C346" s="3">
        <f>CONTROLE_DIARIO!C347</f>
        <v>0</v>
      </c>
      <c r="D346" s="3">
        <f>CONTROLE_DIARIO!D347</f>
        <v>0</v>
      </c>
      <c r="E346" s="3">
        <f>CONTROLE_DIARIO!E347</f>
        <v>0</v>
      </c>
      <c r="F346" s="3">
        <f>CONTROLE_DIARIO!F347</f>
        <v>0</v>
      </c>
      <c r="G346" s="3">
        <f>CONTROLE_DIARIO!G347</f>
        <v>0</v>
      </c>
      <c r="H346" s="3">
        <f>CONTROLE_DIARIO!H347</f>
        <v>0</v>
      </c>
      <c r="I346" s="3">
        <f>CONTROLE_DIARIO!I347</f>
        <v>0</v>
      </c>
      <c r="J346" s="3" t="str">
        <f>CONTROLE_DIARIO!J347</f>
        <v/>
      </c>
      <c r="K346" s="3" t="str">
        <f>CONTROLE_DIARIO!K347</f>
        <v/>
      </c>
      <c r="L346" s="51">
        <f>CONTROLE_DIARIO!L347</f>
        <v>0</v>
      </c>
      <c r="M346" s="51">
        <f>CONTROLE_DIARIO!M347</f>
        <v>0</v>
      </c>
      <c r="N346" s="3">
        <f>CONTROLE_DIARIO!N347</f>
        <v>0</v>
      </c>
      <c r="O346" s="3" t="str">
        <f>CONTROLE_DIARIO!O347</f>
        <v/>
      </c>
      <c r="P346" s="51" t="str">
        <f>CONTROLE_DIARIO!P347</f>
        <v/>
      </c>
      <c r="Q346" s="6">
        <f t="shared" si="40"/>
        <v>0</v>
      </c>
      <c r="R346" s="54" t="str">
        <f t="shared" si="41"/>
        <v>OK</v>
      </c>
      <c r="S346" s="3" t="str">
        <f t="shared" si="42"/>
        <v>jan/yy</v>
      </c>
      <c r="T346" s="3">
        <f t="shared" si="43"/>
        <v>1</v>
      </c>
      <c r="U346" s="3">
        <f t="shared" si="44"/>
        <v>1900</v>
      </c>
      <c r="V346" s="6">
        <f t="shared" si="45"/>
        <v>0</v>
      </c>
      <c r="W346" s="3" t="str">
        <f t="shared" si="46"/>
        <v>CRÍTICO</v>
      </c>
    </row>
    <row r="347" spans="1:23" x14ac:dyDescent="0.25">
      <c r="A347" s="2">
        <f>CONTROLE_DIARIO!A348</f>
        <v>0</v>
      </c>
      <c r="B347" s="51">
        <f>CONTROLE_DIARIO!B348</f>
        <v>0</v>
      </c>
      <c r="C347" s="3">
        <f>CONTROLE_DIARIO!C348</f>
        <v>0</v>
      </c>
      <c r="D347" s="3">
        <f>CONTROLE_DIARIO!D348</f>
        <v>0</v>
      </c>
      <c r="E347" s="3">
        <f>CONTROLE_DIARIO!E348</f>
        <v>0</v>
      </c>
      <c r="F347" s="3">
        <f>CONTROLE_DIARIO!F348</f>
        <v>0</v>
      </c>
      <c r="G347" s="3">
        <f>CONTROLE_DIARIO!G348</f>
        <v>0</v>
      </c>
      <c r="H347" s="3">
        <f>CONTROLE_DIARIO!H348</f>
        <v>0</v>
      </c>
      <c r="I347" s="3">
        <f>CONTROLE_DIARIO!I348</f>
        <v>0</v>
      </c>
      <c r="J347" s="3" t="str">
        <f>CONTROLE_DIARIO!J348</f>
        <v/>
      </c>
      <c r="K347" s="3" t="str">
        <f>CONTROLE_DIARIO!K348</f>
        <v/>
      </c>
      <c r="L347" s="51">
        <f>CONTROLE_DIARIO!L348</f>
        <v>0</v>
      </c>
      <c r="M347" s="51">
        <f>CONTROLE_DIARIO!M348</f>
        <v>0</v>
      </c>
      <c r="N347" s="3">
        <f>CONTROLE_DIARIO!N348</f>
        <v>0</v>
      </c>
      <c r="O347" s="3" t="str">
        <f>CONTROLE_DIARIO!O348</f>
        <v/>
      </c>
      <c r="P347" s="51" t="str">
        <f>CONTROLE_DIARIO!P348</f>
        <v/>
      </c>
      <c r="Q347" s="6">
        <f t="shared" si="40"/>
        <v>0</v>
      </c>
      <c r="R347" s="54" t="str">
        <f t="shared" si="41"/>
        <v>OK</v>
      </c>
      <c r="S347" s="3" t="str">
        <f t="shared" si="42"/>
        <v>jan/yy</v>
      </c>
      <c r="T347" s="3">
        <f t="shared" si="43"/>
        <v>1</v>
      </c>
      <c r="U347" s="3">
        <f t="shared" si="44"/>
        <v>1900</v>
      </c>
      <c r="V347" s="6">
        <f t="shared" si="45"/>
        <v>0</v>
      </c>
      <c r="W347" s="3" t="str">
        <f t="shared" si="46"/>
        <v>CRÍTICO</v>
      </c>
    </row>
    <row r="348" spans="1:23" x14ac:dyDescent="0.25">
      <c r="A348" s="2">
        <f>CONTROLE_DIARIO!A349</f>
        <v>0</v>
      </c>
      <c r="B348" s="51">
        <f>CONTROLE_DIARIO!B349</f>
        <v>0</v>
      </c>
      <c r="C348" s="3">
        <f>CONTROLE_DIARIO!C349</f>
        <v>0</v>
      </c>
      <c r="D348" s="3">
        <f>CONTROLE_DIARIO!D349</f>
        <v>0</v>
      </c>
      <c r="E348" s="3">
        <f>CONTROLE_DIARIO!E349</f>
        <v>0</v>
      </c>
      <c r="F348" s="3">
        <f>CONTROLE_DIARIO!F349</f>
        <v>0</v>
      </c>
      <c r="G348" s="3">
        <f>CONTROLE_DIARIO!G349</f>
        <v>0</v>
      </c>
      <c r="H348" s="3">
        <f>CONTROLE_DIARIO!H349</f>
        <v>0</v>
      </c>
      <c r="I348" s="3">
        <f>CONTROLE_DIARIO!I349</f>
        <v>0</v>
      </c>
      <c r="J348" s="3" t="str">
        <f>CONTROLE_DIARIO!J349</f>
        <v/>
      </c>
      <c r="K348" s="3" t="str">
        <f>CONTROLE_DIARIO!K349</f>
        <v/>
      </c>
      <c r="L348" s="51">
        <f>CONTROLE_DIARIO!L349</f>
        <v>0</v>
      </c>
      <c r="M348" s="51">
        <f>CONTROLE_DIARIO!M349</f>
        <v>0</v>
      </c>
      <c r="N348" s="3">
        <f>CONTROLE_DIARIO!N349</f>
        <v>0</v>
      </c>
      <c r="O348" s="3" t="str">
        <f>CONTROLE_DIARIO!O349</f>
        <v/>
      </c>
      <c r="P348" s="51" t="str">
        <f>CONTROLE_DIARIO!P349</f>
        <v/>
      </c>
      <c r="Q348" s="6">
        <f t="shared" si="40"/>
        <v>0</v>
      </c>
      <c r="R348" s="54" t="str">
        <f t="shared" si="41"/>
        <v>OK</v>
      </c>
      <c r="S348" s="3" t="str">
        <f t="shared" si="42"/>
        <v>jan/yy</v>
      </c>
      <c r="T348" s="3">
        <f t="shared" si="43"/>
        <v>1</v>
      </c>
      <c r="U348" s="3">
        <f t="shared" si="44"/>
        <v>1900</v>
      </c>
      <c r="V348" s="6">
        <f t="shared" si="45"/>
        <v>0</v>
      </c>
      <c r="W348" s="3" t="str">
        <f t="shared" si="46"/>
        <v>CRÍTICO</v>
      </c>
    </row>
    <row r="349" spans="1:23" x14ac:dyDescent="0.25">
      <c r="A349" s="2">
        <f>CONTROLE_DIARIO!A350</f>
        <v>0</v>
      </c>
      <c r="B349" s="51">
        <f>CONTROLE_DIARIO!B350</f>
        <v>0</v>
      </c>
      <c r="C349" s="3">
        <f>CONTROLE_DIARIO!C350</f>
        <v>0</v>
      </c>
      <c r="D349" s="3">
        <f>CONTROLE_DIARIO!D350</f>
        <v>0</v>
      </c>
      <c r="E349" s="3">
        <f>CONTROLE_DIARIO!E350</f>
        <v>0</v>
      </c>
      <c r="F349" s="3">
        <f>CONTROLE_DIARIO!F350</f>
        <v>0</v>
      </c>
      <c r="G349" s="3">
        <f>CONTROLE_DIARIO!G350</f>
        <v>0</v>
      </c>
      <c r="H349" s="3">
        <f>CONTROLE_DIARIO!H350</f>
        <v>0</v>
      </c>
      <c r="I349" s="3">
        <f>CONTROLE_DIARIO!I350</f>
        <v>0</v>
      </c>
      <c r="J349" s="3" t="str">
        <f>CONTROLE_DIARIO!J350</f>
        <v/>
      </c>
      <c r="K349" s="3" t="str">
        <f>CONTROLE_DIARIO!K350</f>
        <v/>
      </c>
      <c r="L349" s="51">
        <f>CONTROLE_DIARIO!L350</f>
        <v>0</v>
      </c>
      <c r="M349" s="51">
        <f>CONTROLE_DIARIO!M350</f>
        <v>0</v>
      </c>
      <c r="N349" s="3">
        <f>CONTROLE_DIARIO!N350</f>
        <v>0</v>
      </c>
      <c r="O349" s="3" t="str">
        <f>CONTROLE_DIARIO!O350</f>
        <v/>
      </c>
      <c r="P349" s="51" t="str">
        <f>CONTROLE_DIARIO!P350</f>
        <v/>
      </c>
      <c r="Q349" s="6">
        <f t="shared" si="40"/>
        <v>0</v>
      </c>
      <c r="R349" s="54" t="str">
        <f t="shared" si="41"/>
        <v>OK</v>
      </c>
      <c r="S349" s="3" t="str">
        <f t="shared" si="42"/>
        <v>jan/yy</v>
      </c>
      <c r="T349" s="3">
        <f t="shared" si="43"/>
        <v>1</v>
      </c>
      <c r="U349" s="3">
        <f t="shared" si="44"/>
        <v>1900</v>
      </c>
      <c r="V349" s="6">
        <f t="shared" si="45"/>
        <v>0</v>
      </c>
      <c r="W349" s="3" t="str">
        <f t="shared" si="46"/>
        <v>CRÍTICO</v>
      </c>
    </row>
    <row r="350" spans="1:23" x14ac:dyDescent="0.25">
      <c r="A350" s="2">
        <f>CONTROLE_DIARIO!A351</f>
        <v>0</v>
      </c>
      <c r="B350" s="51">
        <f>CONTROLE_DIARIO!B351</f>
        <v>0</v>
      </c>
      <c r="C350" s="3">
        <f>CONTROLE_DIARIO!C351</f>
        <v>0</v>
      </c>
      <c r="D350" s="3">
        <f>CONTROLE_DIARIO!D351</f>
        <v>0</v>
      </c>
      <c r="E350" s="3">
        <f>CONTROLE_DIARIO!E351</f>
        <v>0</v>
      </c>
      <c r="F350" s="3">
        <f>CONTROLE_DIARIO!F351</f>
        <v>0</v>
      </c>
      <c r="G350" s="3">
        <f>CONTROLE_DIARIO!G351</f>
        <v>0</v>
      </c>
      <c r="H350" s="3">
        <f>CONTROLE_DIARIO!H351</f>
        <v>0</v>
      </c>
      <c r="I350" s="3">
        <f>CONTROLE_DIARIO!I351</f>
        <v>0</v>
      </c>
      <c r="J350" s="3" t="str">
        <f>CONTROLE_DIARIO!J351</f>
        <v/>
      </c>
      <c r="K350" s="3" t="str">
        <f>CONTROLE_DIARIO!K351</f>
        <v/>
      </c>
      <c r="L350" s="51">
        <f>CONTROLE_DIARIO!L351</f>
        <v>0</v>
      </c>
      <c r="M350" s="51">
        <f>CONTROLE_DIARIO!M351</f>
        <v>0</v>
      </c>
      <c r="N350" s="3">
        <f>CONTROLE_DIARIO!N351</f>
        <v>0</v>
      </c>
      <c r="O350" s="3" t="str">
        <f>CONTROLE_DIARIO!O351</f>
        <v/>
      </c>
      <c r="P350" s="51" t="str">
        <f>CONTROLE_DIARIO!P351</f>
        <v/>
      </c>
      <c r="Q350" s="6">
        <f t="shared" si="40"/>
        <v>0</v>
      </c>
      <c r="R350" s="54" t="str">
        <f t="shared" si="41"/>
        <v>OK</v>
      </c>
      <c r="S350" s="3" t="str">
        <f t="shared" si="42"/>
        <v>jan/yy</v>
      </c>
      <c r="T350" s="3">
        <f t="shared" si="43"/>
        <v>1</v>
      </c>
      <c r="U350" s="3">
        <f t="shared" si="44"/>
        <v>1900</v>
      </c>
      <c r="V350" s="6">
        <f t="shared" si="45"/>
        <v>0</v>
      </c>
      <c r="W350" s="3" t="str">
        <f t="shared" si="46"/>
        <v>CRÍTICO</v>
      </c>
    </row>
    <row r="351" spans="1:23" x14ac:dyDescent="0.25">
      <c r="A351" s="2">
        <f>CONTROLE_DIARIO!A352</f>
        <v>0</v>
      </c>
      <c r="B351" s="51">
        <f>CONTROLE_DIARIO!B352</f>
        <v>0</v>
      </c>
      <c r="C351" s="3">
        <f>CONTROLE_DIARIO!C352</f>
        <v>0</v>
      </c>
      <c r="D351" s="3">
        <f>CONTROLE_DIARIO!D352</f>
        <v>0</v>
      </c>
      <c r="E351" s="3">
        <f>CONTROLE_DIARIO!E352</f>
        <v>0</v>
      </c>
      <c r="F351" s="3">
        <f>CONTROLE_DIARIO!F352</f>
        <v>0</v>
      </c>
      <c r="G351" s="3">
        <f>CONTROLE_DIARIO!G352</f>
        <v>0</v>
      </c>
      <c r="H351" s="3">
        <f>CONTROLE_DIARIO!H352</f>
        <v>0</v>
      </c>
      <c r="I351" s="3">
        <f>CONTROLE_DIARIO!I352</f>
        <v>0</v>
      </c>
      <c r="J351" s="3" t="str">
        <f>CONTROLE_DIARIO!J352</f>
        <v/>
      </c>
      <c r="K351" s="3" t="str">
        <f>CONTROLE_DIARIO!K352</f>
        <v/>
      </c>
      <c r="L351" s="51">
        <f>CONTROLE_DIARIO!L352</f>
        <v>0</v>
      </c>
      <c r="M351" s="51">
        <f>CONTROLE_DIARIO!M352</f>
        <v>0</v>
      </c>
      <c r="N351" s="3">
        <f>CONTROLE_DIARIO!N352</f>
        <v>0</v>
      </c>
      <c r="O351" s="3" t="str">
        <f>CONTROLE_DIARIO!O352</f>
        <v/>
      </c>
      <c r="P351" s="51" t="str">
        <f>CONTROLE_DIARIO!P352</f>
        <v/>
      </c>
      <c r="Q351" s="6">
        <f t="shared" si="40"/>
        <v>0</v>
      </c>
      <c r="R351" s="54" t="str">
        <f t="shared" si="41"/>
        <v>OK</v>
      </c>
      <c r="S351" s="3" t="str">
        <f t="shared" si="42"/>
        <v>jan/yy</v>
      </c>
      <c r="T351" s="3">
        <f t="shared" si="43"/>
        <v>1</v>
      </c>
      <c r="U351" s="3">
        <f t="shared" si="44"/>
        <v>1900</v>
      </c>
      <c r="V351" s="6">
        <f t="shared" si="45"/>
        <v>0</v>
      </c>
      <c r="W351" s="3" t="str">
        <f t="shared" si="46"/>
        <v>CRÍTICO</v>
      </c>
    </row>
    <row r="352" spans="1:23" x14ac:dyDescent="0.25">
      <c r="A352" s="2">
        <f>CONTROLE_DIARIO!A353</f>
        <v>0</v>
      </c>
      <c r="B352" s="51">
        <f>CONTROLE_DIARIO!B353</f>
        <v>0</v>
      </c>
      <c r="C352" s="3">
        <f>CONTROLE_DIARIO!C353</f>
        <v>0</v>
      </c>
      <c r="D352" s="3">
        <f>CONTROLE_DIARIO!D353</f>
        <v>0</v>
      </c>
      <c r="E352" s="3">
        <f>CONTROLE_DIARIO!E353</f>
        <v>0</v>
      </c>
      <c r="F352" s="3">
        <f>CONTROLE_DIARIO!F353</f>
        <v>0</v>
      </c>
      <c r="G352" s="3">
        <f>CONTROLE_DIARIO!G353</f>
        <v>0</v>
      </c>
      <c r="H352" s="3">
        <f>CONTROLE_DIARIO!H353</f>
        <v>0</v>
      </c>
      <c r="I352" s="3">
        <f>CONTROLE_DIARIO!I353</f>
        <v>0</v>
      </c>
      <c r="J352" s="3" t="str">
        <f>CONTROLE_DIARIO!J353</f>
        <v/>
      </c>
      <c r="K352" s="3" t="str">
        <f>CONTROLE_DIARIO!K353</f>
        <v/>
      </c>
      <c r="L352" s="51">
        <f>CONTROLE_DIARIO!L353</f>
        <v>0</v>
      </c>
      <c r="M352" s="51">
        <f>CONTROLE_DIARIO!M353</f>
        <v>0</v>
      </c>
      <c r="N352" s="3">
        <f>CONTROLE_DIARIO!N353</f>
        <v>0</v>
      </c>
      <c r="O352" s="3" t="str">
        <f>CONTROLE_DIARIO!O353</f>
        <v/>
      </c>
      <c r="P352" s="51" t="str">
        <f>CONTROLE_DIARIO!P353</f>
        <v/>
      </c>
      <c r="Q352" s="6">
        <f t="shared" si="40"/>
        <v>0</v>
      </c>
      <c r="R352" s="54" t="str">
        <f t="shared" si="41"/>
        <v>OK</v>
      </c>
      <c r="S352" s="3" t="str">
        <f t="shared" si="42"/>
        <v>jan/yy</v>
      </c>
      <c r="T352" s="3">
        <f t="shared" si="43"/>
        <v>1</v>
      </c>
      <c r="U352" s="3">
        <f t="shared" si="44"/>
        <v>1900</v>
      </c>
      <c r="V352" s="6">
        <f t="shared" si="45"/>
        <v>0</v>
      </c>
      <c r="W352" s="3" t="str">
        <f t="shared" si="46"/>
        <v>CRÍTICO</v>
      </c>
    </row>
    <row r="353" spans="1:23" x14ac:dyDescent="0.25">
      <c r="A353" s="2">
        <f>CONTROLE_DIARIO!A354</f>
        <v>0</v>
      </c>
      <c r="B353" s="51">
        <f>CONTROLE_DIARIO!B354</f>
        <v>0</v>
      </c>
      <c r="C353" s="3">
        <f>CONTROLE_DIARIO!C354</f>
        <v>0</v>
      </c>
      <c r="D353" s="3">
        <f>CONTROLE_DIARIO!D354</f>
        <v>0</v>
      </c>
      <c r="E353" s="3">
        <f>CONTROLE_DIARIO!E354</f>
        <v>0</v>
      </c>
      <c r="F353" s="3">
        <f>CONTROLE_DIARIO!F354</f>
        <v>0</v>
      </c>
      <c r="G353" s="3">
        <f>CONTROLE_DIARIO!G354</f>
        <v>0</v>
      </c>
      <c r="H353" s="3">
        <f>CONTROLE_DIARIO!H354</f>
        <v>0</v>
      </c>
      <c r="I353" s="3">
        <f>CONTROLE_DIARIO!I354</f>
        <v>0</v>
      </c>
      <c r="J353" s="3" t="str">
        <f>CONTROLE_DIARIO!J354</f>
        <v/>
      </c>
      <c r="K353" s="3" t="str">
        <f>CONTROLE_DIARIO!K354</f>
        <v/>
      </c>
      <c r="L353" s="51">
        <f>CONTROLE_DIARIO!L354</f>
        <v>0</v>
      </c>
      <c r="M353" s="51">
        <f>CONTROLE_DIARIO!M354</f>
        <v>0</v>
      </c>
      <c r="N353" s="3">
        <f>CONTROLE_DIARIO!N354</f>
        <v>0</v>
      </c>
      <c r="O353" s="3" t="str">
        <f>CONTROLE_DIARIO!O354</f>
        <v/>
      </c>
      <c r="P353" s="51" t="str">
        <f>CONTROLE_DIARIO!P354</f>
        <v/>
      </c>
      <c r="Q353" s="6">
        <f t="shared" si="40"/>
        <v>0</v>
      </c>
      <c r="R353" s="54" t="str">
        <f t="shared" si="41"/>
        <v>OK</v>
      </c>
      <c r="S353" s="3" t="str">
        <f t="shared" si="42"/>
        <v>jan/yy</v>
      </c>
      <c r="T353" s="3">
        <f t="shared" si="43"/>
        <v>1</v>
      </c>
      <c r="U353" s="3">
        <f t="shared" si="44"/>
        <v>1900</v>
      </c>
      <c r="V353" s="6">
        <f t="shared" si="45"/>
        <v>0</v>
      </c>
      <c r="W353" s="3" t="str">
        <f t="shared" si="46"/>
        <v>CRÍTICO</v>
      </c>
    </row>
    <row r="354" spans="1:23" x14ac:dyDescent="0.25">
      <c r="A354" s="2">
        <f>CONTROLE_DIARIO!A355</f>
        <v>0</v>
      </c>
      <c r="B354" s="51">
        <f>CONTROLE_DIARIO!B355</f>
        <v>0</v>
      </c>
      <c r="C354" s="3">
        <f>CONTROLE_DIARIO!C355</f>
        <v>0</v>
      </c>
      <c r="D354" s="3">
        <f>CONTROLE_DIARIO!D355</f>
        <v>0</v>
      </c>
      <c r="E354" s="3">
        <f>CONTROLE_DIARIO!E355</f>
        <v>0</v>
      </c>
      <c r="F354" s="3">
        <f>CONTROLE_DIARIO!F355</f>
        <v>0</v>
      </c>
      <c r="G354" s="3">
        <f>CONTROLE_DIARIO!G355</f>
        <v>0</v>
      </c>
      <c r="H354" s="3">
        <f>CONTROLE_DIARIO!H355</f>
        <v>0</v>
      </c>
      <c r="I354" s="3">
        <f>CONTROLE_DIARIO!I355</f>
        <v>0</v>
      </c>
      <c r="J354" s="3" t="str">
        <f>CONTROLE_DIARIO!J355</f>
        <v/>
      </c>
      <c r="K354" s="3" t="str">
        <f>CONTROLE_DIARIO!K355</f>
        <v/>
      </c>
      <c r="L354" s="51">
        <f>CONTROLE_DIARIO!L355</f>
        <v>0</v>
      </c>
      <c r="M354" s="51">
        <f>CONTROLE_DIARIO!M355</f>
        <v>0</v>
      </c>
      <c r="N354" s="3">
        <f>CONTROLE_DIARIO!N355</f>
        <v>0</v>
      </c>
      <c r="O354" s="3" t="str">
        <f>CONTROLE_DIARIO!O355</f>
        <v/>
      </c>
      <c r="P354" s="51" t="str">
        <f>CONTROLE_DIARIO!P355</f>
        <v/>
      </c>
      <c r="Q354" s="6">
        <f t="shared" si="40"/>
        <v>0</v>
      </c>
      <c r="R354" s="54" t="str">
        <f t="shared" si="41"/>
        <v>OK</v>
      </c>
      <c r="S354" s="3" t="str">
        <f t="shared" si="42"/>
        <v>jan/yy</v>
      </c>
      <c r="T354" s="3">
        <f t="shared" si="43"/>
        <v>1</v>
      </c>
      <c r="U354" s="3">
        <f t="shared" si="44"/>
        <v>1900</v>
      </c>
      <c r="V354" s="6">
        <f t="shared" si="45"/>
        <v>0</v>
      </c>
      <c r="W354" s="3" t="str">
        <f t="shared" si="46"/>
        <v>CRÍTICO</v>
      </c>
    </row>
    <row r="355" spans="1:23" x14ac:dyDescent="0.25">
      <c r="A355" s="2">
        <f>CONTROLE_DIARIO!A356</f>
        <v>0</v>
      </c>
      <c r="B355" s="51">
        <f>CONTROLE_DIARIO!B356</f>
        <v>0</v>
      </c>
      <c r="C355" s="3">
        <f>CONTROLE_DIARIO!C356</f>
        <v>0</v>
      </c>
      <c r="D355" s="3">
        <f>CONTROLE_DIARIO!D356</f>
        <v>0</v>
      </c>
      <c r="E355" s="3">
        <f>CONTROLE_DIARIO!E356</f>
        <v>0</v>
      </c>
      <c r="F355" s="3">
        <f>CONTROLE_DIARIO!F356</f>
        <v>0</v>
      </c>
      <c r="G355" s="3">
        <f>CONTROLE_DIARIO!G356</f>
        <v>0</v>
      </c>
      <c r="H355" s="3">
        <f>CONTROLE_DIARIO!H356</f>
        <v>0</v>
      </c>
      <c r="I355" s="3">
        <f>CONTROLE_DIARIO!I356</f>
        <v>0</v>
      </c>
      <c r="J355" s="3" t="str">
        <f>CONTROLE_DIARIO!J356</f>
        <v/>
      </c>
      <c r="K355" s="3" t="str">
        <f>CONTROLE_DIARIO!K356</f>
        <v/>
      </c>
      <c r="L355" s="51">
        <f>CONTROLE_DIARIO!L356</f>
        <v>0</v>
      </c>
      <c r="M355" s="51">
        <f>CONTROLE_DIARIO!M356</f>
        <v>0</v>
      </c>
      <c r="N355" s="3">
        <f>CONTROLE_DIARIO!N356</f>
        <v>0</v>
      </c>
      <c r="O355" s="3" t="str">
        <f>CONTROLE_DIARIO!O356</f>
        <v/>
      </c>
      <c r="P355" s="51" t="str">
        <f>CONTROLE_DIARIO!P356</f>
        <v/>
      </c>
      <c r="Q355" s="6">
        <f t="shared" si="40"/>
        <v>0</v>
      </c>
      <c r="R355" s="54" t="str">
        <f t="shared" si="41"/>
        <v>OK</v>
      </c>
      <c r="S355" s="3" t="str">
        <f t="shared" si="42"/>
        <v>jan/yy</v>
      </c>
      <c r="T355" s="3">
        <f t="shared" si="43"/>
        <v>1</v>
      </c>
      <c r="U355" s="3">
        <f t="shared" si="44"/>
        <v>1900</v>
      </c>
      <c r="V355" s="6">
        <f t="shared" si="45"/>
        <v>0</v>
      </c>
      <c r="W355" s="3" t="str">
        <f t="shared" si="46"/>
        <v>CRÍTICO</v>
      </c>
    </row>
    <row r="356" spans="1:23" x14ac:dyDescent="0.25">
      <c r="A356" s="2">
        <f>CONTROLE_DIARIO!A357</f>
        <v>0</v>
      </c>
      <c r="B356" s="51">
        <f>CONTROLE_DIARIO!B357</f>
        <v>0</v>
      </c>
      <c r="C356" s="3">
        <f>CONTROLE_DIARIO!C357</f>
        <v>0</v>
      </c>
      <c r="D356" s="3">
        <f>CONTROLE_DIARIO!D357</f>
        <v>0</v>
      </c>
      <c r="E356" s="3">
        <f>CONTROLE_DIARIO!E357</f>
        <v>0</v>
      </c>
      <c r="F356" s="3">
        <f>CONTROLE_DIARIO!F357</f>
        <v>0</v>
      </c>
      <c r="G356" s="3">
        <f>CONTROLE_DIARIO!G357</f>
        <v>0</v>
      </c>
      <c r="H356" s="3">
        <f>CONTROLE_DIARIO!H357</f>
        <v>0</v>
      </c>
      <c r="I356" s="3">
        <f>CONTROLE_DIARIO!I357</f>
        <v>0</v>
      </c>
      <c r="J356" s="3" t="str">
        <f>CONTROLE_DIARIO!J357</f>
        <v/>
      </c>
      <c r="K356" s="3" t="str">
        <f>CONTROLE_DIARIO!K357</f>
        <v/>
      </c>
      <c r="L356" s="51">
        <f>CONTROLE_DIARIO!L357</f>
        <v>0</v>
      </c>
      <c r="M356" s="51">
        <f>CONTROLE_DIARIO!M357</f>
        <v>0</v>
      </c>
      <c r="N356" s="3">
        <f>CONTROLE_DIARIO!N357</f>
        <v>0</v>
      </c>
      <c r="O356" s="3" t="str">
        <f>CONTROLE_DIARIO!O357</f>
        <v/>
      </c>
      <c r="P356" s="51" t="str">
        <f>CONTROLE_DIARIO!P357</f>
        <v/>
      </c>
      <c r="Q356" s="6">
        <f t="shared" si="40"/>
        <v>0</v>
      </c>
      <c r="R356" s="54" t="str">
        <f t="shared" si="41"/>
        <v>OK</v>
      </c>
      <c r="S356" s="3" t="str">
        <f t="shared" si="42"/>
        <v>jan/yy</v>
      </c>
      <c r="T356" s="3">
        <f t="shared" si="43"/>
        <v>1</v>
      </c>
      <c r="U356" s="3">
        <f t="shared" si="44"/>
        <v>1900</v>
      </c>
      <c r="V356" s="6">
        <f t="shared" si="45"/>
        <v>0</v>
      </c>
      <c r="W356" s="3" t="str">
        <f t="shared" si="46"/>
        <v>CRÍTICO</v>
      </c>
    </row>
    <row r="357" spans="1:23" x14ac:dyDescent="0.25">
      <c r="A357" s="2">
        <f>CONTROLE_DIARIO!A358</f>
        <v>0</v>
      </c>
      <c r="B357" s="51">
        <f>CONTROLE_DIARIO!B358</f>
        <v>0</v>
      </c>
      <c r="C357" s="3">
        <f>CONTROLE_DIARIO!C358</f>
        <v>0</v>
      </c>
      <c r="D357" s="3">
        <f>CONTROLE_DIARIO!D358</f>
        <v>0</v>
      </c>
      <c r="E357" s="3">
        <f>CONTROLE_DIARIO!E358</f>
        <v>0</v>
      </c>
      <c r="F357" s="3">
        <f>CONTROLE_DIARIO!F358</f>
        <v>0</v>
      </c>
      <c r="G357" s="3">
        <f>CONTROLE_DIARIO!G358</f>
        <v>0</v>
      </c>
      <c r="H357" s="3">
        <f>CONTROLE_DIARIO!H358</f>
        <v>0</v>
      </c>
      <c r="I357" s="3">
        <f>CONTROLE_DIARIO!I358</f>
        <v>0</v>
      </c>
      <c r="J357" s="3" t="str">
        <f>CONTROLE_DIARIO!J358</f>
        <v/>
      </c>
      <c r="K357" s="3" t="str">
        <f>CONTROLE_DIARIO!K358</f>
        <v/>
      </c>
      <c r="L357" s="51">
        <f>CONTROLE_DIARIO!L358</f>
        <v>0</v>
      </c>
      <c r="M357" s="51">
        <f>CONTROLE_DIARIO!M358</f>
        <v>0</v>
      </c>
      <c r="N357" s="3">
        <f>CONTROLE_DIARIO!N358</f>
        <v>0</v>
      </c>
      <c r="O357" s="3" t="str">
        <f>CONTROLE_DIARIO!O358</f>
        <v/>
      </c>
      <c r="P357" s="51" t="str">
        <f>CONTROLE_DIARIO!P358</f>
        <v/>
      </c>
      <c r="Q357" s="6">
        <f t="shared" si="40"/>
        <v>0</v>
      </c>
      <c r="R357" s="54" t="str">
        <f t="shared" si="41"/>
        <v>OK</v>
      </c>
      <c r="S357" s="3" t="str">
        <f t="shared" si="42"/>
        <v>jan/yy</v>
      </c>
      <c r="T357" s="3">
        <f t="shared" si="43"/>
        <v>1</v>
      </c>
      <c r="U357" s="3">
        <f t="shared" si="44"/>
        <v>1900</v>
      </c>
      <c r="V357" s="6">
        <f t="shared" si="45"/>
        <v>0</v>
      </c>
      <c r="W357" s="3" t="str">
        <f t="shared" si="46"/>
        <v>CRÍTICO</v>
      </c>
    </row>
    <row r="358" spans="1:23" x14ac:dyDescent="0.25">
      <c r="A358" s="2">
        <f>CONTROLE_DIARIO!A359</f>
        <v>0</v>
      </c>
      <c r="B358" s="51">
        <f>CONTROLE_DIARIO!B359</f>
        <v>0</v>
      </c>
      <c r="C358" s="3">
        <f>CONTROLE_DIARIO!C359</f>
        <v>0</v>
      </c>
      <c r="D358" s="3">
        <f>CONTROLE_DIARIO!D359</f>
        <v>0</v>
      </c>
      <c r="E358" s="3">
        <f>CONTROLE_DIARIO!E359</f>
        <v>0</v>
      </c>
      <c r="F358" s="3">
        <f>CONTROLE_DIARIO!F359</f>
        <v>0</v>
      </c>
      <c r="G358" s="3">
        <f>CONTROLE_DIARIO!G359</f>
        <v>0</v>
      </c>
      <c r="H358" s="3">
        <f>CONTROLE_DIARIO!H359</f>
        <v>0</v>
      </c>
      <c r="I358" s="3">
        <f>CONTROLE_DIARIO!I359</f>
        <v>0</v>
      </c>
      <c r="J358" s="3" t="str">
        <f>CONTROLE_DIARIO!J359</f>
        <v/>
      </c>
      <c r="K358" s="3" t="str">
        <f>CONTROLE_DIARIO!K359</f>
        <v/>
      </c>
      <c r="L358" s="51">
        <f>CONTROLE_DIARIO!L359</f>
        <v>0</v>
      </c>
      <c r="M358" s="51">
        <f>CONTROLE_DIARIO!M359</f>
        <v>0</v>
      </c>
      <c r="N358" s="3">
        <f>CONTROLE_DIARIO!N359</f>
        <v>0</v>
      </c>
      <c r="O358" s="3" t="str">
        <f>CONTROLE_DIARIO!O359</f>
        <v/>
      </c>
      <c r="P358" s="51" t="str">
        <f>CONTROLE_DIARIO!P359</f>
        <v/>
      </c>
      <c r="Q358" s="6">
        <f t="shared" si="40"/>
        <v>0</v>
      </c>
      <c r="R358" s="54" t="str">
        <f t="shared" si="41"/>
        <v>OK</v>
      </c>
      <c r="S358" s="3" t="str">
        <f t="shared" si="42"/>
        <v>jan/yy</v>
      </c>
      <c r="T358" s="3">
        <f t="shared" si="43"/>
        <v>1</v>
      </c>
      <c r="U358" s="3">
        <f t="shared" si="44"/>
        <v>1900</v>
      </c>
      <c r="V358" s="6">
        <f t="shared" si="45"/>
        <v>0</v>
      </c>
      <c r="W358" s="3" t="str">
        <f t="shared" si="46"/>
        <v>CRÍTICO</v>
      </c>
    </row>
    <row r="359" spans="1:23" x14ac:dyDescent="0.25">
      <c r="A359" s="2">
        <f>CONTROLE_DIARIO!A360</f>
        <v>0</v>
      </c>
      <c r="B359" s="51">
        <f>CONTROLE_DIARIO!B360</f>
        <v>0</v>
      </c>
      <c r="C359" s="3">
        <f>CONTROLE_DIARIO!C360</f>
        <v>0</v>
      </c>
      <c r="D359" s="3">
        <f>CONTROLE_DIARIO!D360</f>
        <v>0</v>
      </c>
      <c r="E359" s="3">
        <f>CONTROLE_DIARIO!E360</f>
        <v>0</v>
      </c>
      <c r="F359" s="3">
        <f>CONTROLE_DIARIO!F360</f>
        <v>0</v>
      </c>
      <c r="G359" s="3">
        <f>CONTROLE_DIARIO!G360</f>
        <v>0</v>
      </c>
      <c r="H359" s="3">
        <f>CONTROLE_DIARIO!H360</f>
        <v>0</v>
      </c>
      <c r="I359" s="3">
        <f>CONTROLE_DIARIO!I360</f>
        <v>0</v>
      </c>
      <c r="J359" s="3" t="str">
        <f>CONTROLE_DIARIO!J360</f>
        <v/>
      </c>
      <c r="K359" s="3" t="str">
        <f>CONTROLE_DIARIO!K360</f>
        <v/>
      </c>
      <c r="L359" s="51">
        <f>CONTROLE_DIARIO!L360</f>
        <v>0</v>
      </c>
      <c r="M359" s="51">
        <f>CONTROLE_DIARIO!M360</f>
        <v>0</v>
      </c>
      <c r="N359" s="3">
        <f>CONTROLE_DIARIO!N360</f>
        <v>0</v>
      </c>
      <c r="O359" s="3" t="str">
        <f>CONTROLE_DIARIO!O360</f>
        <v/>
      </c>
      <c r="P359" s="51" t="str">
        <f>CONTROLE_DIARIO!P360</f>
        <v/>
      </c>
      <c r="Q359" s="6">
        <f t="shared" si="40"/>
        <v>0</v>
      </c>
      <c r="R359" s="54" t="str">
        <f t="shared" si="41"/>
        <v>OK</v>
      </c>
      <c r="S359" s="3" t="str">
        <f t="shared" si="42"/>
        <v>jan/yy</v>
      </c>
      <c r="T359" s="3">
        <f t="shared" si="43"/>
        <v>1</v>
      </c>
      <c r="U359" s="3">
        <f t="shared" si="44"/>
        <v>1900</v>
      </c>
      <c r="V359" s="6">
        <f t="shared" si="45"/>
        <v>0</v>
      </c>
      <c r="W359" s="3" t="str">
        <f t="shared" si="46"/>
        <v>CRÍTICO</v>
      </c>
    </row>
    <row r="360" spans="1:23" x14ac:dyDescent="0.25">
      <c r="A360" s="2">
        <f>CONTROLE_DIARIO!A361</f>
        <v>0</v>
      </c>
      <c r="B360" s="51">
        <f>CONTROLE_DIARIO!B361</f>
        <v>0</v>
      </c>
      <c r="C360" s="3">
        <f>CONTROLE_DIARIO!C361</f>
        <v>0</v>
      </c>
      <c r="D360" s="3">
        <f>CONTROLE_DIARIO!D361</f>
        <v>0</v>
      </c>
      <c r="E360" s="3">
        <f>CONTROLE_DIARIO!E361</f>
        <v>0</v>
      </c>
      <c r="F360" s="3">
        <f>CONTROLE_DIARIO!F361</f>
        <v>0</v>
      </c>
      <c r="G360" s="3">
        <f>CONTROLE_DIARIO!G361</f>
        <v>0</v>
      </c>
      <c r="H360" s="3">
        <f>CONTROLE_DIARIO!H361</f>
        <v>0</v>
      </c>
      <c r="I360" s="3">
        <f>CONTROLE_DIARIO!I361</f>
        <v>0</v>
      </c>
      <c r="J360" s="3" t="str">
        <f>CONTROLE_DIARIO!J361</f>
        <v/>
      </c>
      <c r="K360" s="3" t="str">
        <f>CONTROLE_DIARIO!K361</f>
        <v/>
      </c>
      <c r="L360" s="51">
        <f>CONTROLE_DIARIO!L361</f>
        <v>0</v>
      </c>
      <c r="M360" s="51">
        <f>CONTROLE_DIARIO!M361</f>
        <v>0</v>
      </c>
      <c r="N360" s="3">
        <f>CONTROLE_DIARIO!N361</f>
        <v>0</v>
      </c>
      <c r="O360" s="3" t="str">
        <f>CONTROLE_DIARIO!O361</f>
        <v/>
      </c>
      <c r="P360" s="51" t="str">
        <f>CONTROLE_DIARIO!P361</f>
        <v/>
      </c>
      <c r="Q360" s="6">
        <f t="shared" si="40"/>
        <v>0</v>
      </c>
      <c r="R360" s="54" t="str">
        <f t="shared" si="41"/>
        <v>OK</v>
      </c>
      <c r="S360" s="3" t="str">
        <f t="shared" si="42"/>
        <v>jan/yy</v>
      </c>
      <c r="T360" s="3">
        <f t="shared" si="43"/>
        <v>1</v>
      </c>
      <c r="U360" s="3">
        <f t="shared" si="44"/>
        <v>1900</v>
      </c>
      <c r="V360" s="6">
        <f t="shared" si="45"/>
        <v>0</v>
      </c>
      <c r="W360" s="3" t="str">
        <f t="shared" si="46"/>
        <v>CRÍTICO</v>
      </c>
    </row>
    <row r="361" spans="1:23" x14ac:dyDescent="0.25">
      <c r="A361" s="2">
        <f>CONTROLE_DIARIO!A362</f>
        <v>0</v>
      </c>
      <c r="B361" s="51">
        <f>CONTROLE_DIARIO!B362</f>
        <v>0</v>
      </c>
      <c r="C361" s="3">
        <f>CONTROLE_DIARIO!C362</f>
        <v>0</v>
      </c>
      <c r="D361" s="3">
        <f>CONTROLE_DIARIO!D362</f>
        <v>0</v>
      </c>
      <c r="E361" s="3">
        <f>CONTROLE_DIARIO!E362</f>
        <v>0</v>
      </c>
      <c r="F361" s="3">
        <f>CONTROLE_DIARIO!F362</f>
        <v>0</v>
      </c>
      <c r="G361" s="3">
        <f>CONTROLE_DIARIO!G362</f>
        <v>0</v>
      </c>
      <c r="H361" s="3">
        <f>CONTROLE_DIARIO!H362</f>
        <v>0</v>
      </c>
      <c r="I361" s="3">
        <f>CONTROLE_DIARIO!I362</f>
        <v>0</v>
      </c>
      <c r="J361" s="3" t="str">
        <f>CONTROLE_DIARIO!J362</f>
        <v/>
      </c>
      <c r="K361" s="3" t="str">
        <f>CONTROLE_DIARIO!K362</f>
        <v/>
      </c>
      <c r="L361" s="51">
        <f>CONTROLE_DIARIO!L362</f>
        <v>0</v>
      </c>
      <c r="M361" s="51">
        <f>CONTROLE_DIARIO!M362</f>
        <v>0</v>
      </c>
      <c r="N361" s="3">
        <f>CONTROLE_DIARIO!N362</f>
        <v>0</v>
      </c>
      <c r="O361" s="3" t="str">
        <f>CONTROLE_DIARIO!O362</f>
        <v/>
      </c>
      <c r="P361" s="51" t="str">
        <f>CONTROLE_DIARIO!P362</f>
        <v/>
      </c>
      <c r="Q361" s="6">
        <f t="shared" si="40"/>
        <v>0</v>
      </c>
      <c r="R361" s="54" t="str">
        <f t="shared" si="41"/>
        <v>OK</v>
      </c>
      <c r="S361" s="3" t="str">
        <f t="shared" si="42"/>
        <v>jan/yy</v>
      </c>
      <c r="T361" s="3">
        <f t="shared" si="43"/>
        <v>1</v>
      </c>
      <c r="U361" s="3">
        <f t="shared" si="44"/>
        <v>1900</v>
      </c>
      <c r="V361" s="6">
        <f t="shared" si="45"/>
        <v>0</v>
      </c>
      <c r="W361" s="3" t="str">
        <f t="shared" si="46"/>
        <v>CRÍTICO</v>
      </c>
    </row>
    <row r="362" spans="1:23" x14ac:dyDescent="0.25">
      <c r="A362" s="2">
        <f>CONTROLE_DIARIO!A363</f>
        <v>0</v>
      </c>
      <c r="B362" s="51">
        <f>CONTROLE_DIARIO!B363</f>
        <v>0</v>
      </c>
      <c r="C362" s="3">
        <f>CONTROLE_DIARIO!C363</f>
        <v>0</v>
      </c>
      <c r="D362" s="3">
        <f>CONTROLE_DIARIO!D363</f>
        <v>0</v>
      </c>
      <c r="E362" s="3">
        <f>CONTROLE_DIARIO!E363</f>
        <v>0</v>
      </c>
      <c r="F362" s="3">
        <f>CONTROLE_DIARIO!F363</f>
        <v>0</v>
      </c>
      <c r="G362" s="3">
        <f>CONTROLE_DIARIO!G363</f>
        <v>0</v>
      </c>
      <c r="H362" s="3">
        <f>CONTROLE_DIARIO!H363</f>
        <v>0</v>
      </c>
      <c r="I362" s="3">
        <f>CONTROLE_DIARIO!I363</f>
        <v>0</v>
      </c>
      <c r="J362" s="3" t="str">
        <f>CONTROLE_DIARIO!J363</f>
        <v/>
      </c>
      <c r="K362" s="3" t="str">
        <f>CONTROLE_DIARIO!K363</f>
        <v/>
      </c>
      <c r="L362" s="51">
        <f>CONTROLE_DIARIO!L363</f>
        <v>0</v>
      </c>
      <c r="M362" s="51">
        <f>CONTROLE_DIARIO!M363</f>
        <v>0</v>
      </c>
      <c r="N362" s="3">
        <f>CONTROLE_DIARIO!N363</f>
        <v>0</v>
      </c>
      <c r="O362" s="3" t="str">
        <f>CONTROLE_DIARIO!O363</f>
        <v/>
      </c>
      <c r="P362" s="51" t="str">
        <f>CONTROLE_DIARIO!P363</f>
        <v/>
      </c>
      <c r="Q362" s="6">
        <f t="shared" si="40"/>
        <v>0</v>
      </c>
      <c r="R362" s="54" t="str">
        <f t="shared" si="41"/>
        <v>OK</v>
      </c>
      <c r="S362" s="3" t="str">
        <f t="shared" si="42"/>
        <v>jan/yy</v>
      </c>
      <c r="T362" s="3">
        <f t="shared" si="43"/>
        <v>1</v>
      </c>
      <c r="U362" s="3">
        <f t="shared" si="44"/>
        <v>1900</v>
      </c>
      <c r="V362" s="6">
        <f t="shared" si="45"/>
        <v>0</v>
      </c>
      <c r="W362" s="3" t="str">
        <f t="shared" si="46"/>
        <v>CRÍTICO</v>
      </c>
    </row>
    <row r="363" spans="1:23" x14ac:dyDescent="0.25">
      <c r="A363" s="2">
        <f>CONTROLE_DIARIO!A364</f>
        <v>0</v>
      </c>
      <c r="B363" s="51">
        <f>CONTROLE_DIARIO!B364</f>
        <v>0</v>
      </c>
      <c r="C363" s="3">
        <f>CONTROLE_DIARIO!C364</f>
        <v>0</v>
      </c>
      <c r="D363" s="3">
        <f>CONTROLE_DIARIO!D364</f>
        <v>0</v>
      </c>
      <c r="E363" s="3">
        <f>CONTROLE_DIARIO!E364</f>
        <v>0</v>
      </c>
      <c r="F363" s="3">
        <f>CONTROLE_DIARIO!F364</f>
        <v>0</v>
      </c>
      <c r="G363" s="3">
        <f>CONTROLE_DIARIO!G364</f>
        <v>0</v>
      </c>
      <c r="H363" s="3">
        <f>CONTROLE_DIARIO!H364</f>
        <v>0</v>
      </c>
      <c r="I363" s="3">
        <f>CONTROLE_DIARIO!I364</f>
        <v>0</v>
      </c>
      <c r="J363" s="3" t="str">
        <f>CONTROLE_DIARIO!J364</f>
        <v/>
      </c>
      <c r="K363" s="3" t="str">
        <f>CONTROLE_DIARIO!K364</f>
        <v/>
      </c>
      <c r="L363" s="51">
        <f>CONTROLE_DIARIO!L364</f>
        <v>0</v>
      </c>
      <c r="M363" s="51">
        <f>CONTROLE_DIARIO!M364</f>
        <v>0</v>
      </c>
      <c r="N363" s="3">
        <f>CONTROLE_DIARIO!N364</f>
        <v>0</v>
      </c>
      <c r="O363" s="3" t="str">
        <f>CONTROLE_DIARIO!O364</f>
        <v/>
      </c>
      <c r="P363" s="51" t="str">
        <f>CONTROLE_DIARIO!P364</f>
        <v/>
      </c>
      <c r="Q363" s="6">
        <f t="shared" si="40"/>
        <v>0</v>
      </c>
      <c r="R363" s="54" t="str">
        <f t="shared" si="41"/>
        <v>OK</v>
      </c>
      <c r="S363" s="3" t="str">
        <f t="shared" si="42"/>
        <v>jan/yy</v>
      </c>
      <c r="T363" s="3">
        <f t="shared" si="43"/>
        <v>1</v>
      </c>
      <c r="U363" s="3">
        <f t="shared" si="44"/>
        <v>1900</v>
      </c>
      <c r="V363" s="6">
        <f t="shared" si="45"/>
        <v>0</v>
      </c>
      <c r="W363" s="3" t="str">
        <f t="shared" si="46"/>
        <v>CRÍTICO</v>
      </c>
    </row>
    <row r="364" spans="1:23" x14ac:dyDescent="0.25">
      <c r="A364" s="2">
        <f>CONTROLE_DIARIO!A365</f>
        <v>0</v>
      </c>
      <c r="B364" s="51">
        <f>CONTROLE_DIARIO!B365</f>
        <v>0</v>
      </c>
      <c r="C364" s="3">
        <f>CONTROLE_DIARIO!C365</f>
        <v>0</v>
      </c>
      <c r="D364" s="3">
        <f>CONTROLE_DIARIO!D365</f>
        <v>0</v>
      </c>
      <c r="E364" s="3">
        <f>CONTROLE_DIARIO!E365</f>
        <v>0</v>
      </c>
      <c r="F364" s="3">
        <f>CONTROLE_DIARIO!F365</f>
        <v>0</v>
      </c>
      <c r="G364" s="3">
        <f>CONTROLE_DIARIO!G365</f>
        <v>0</v>
      </c>
      <c r="H364" s="3">
        <f>CONTROLE_DIARIO!H365</f>
        <v>0</v>
      </c>
      <c r="I364" s="3">
        <f>CONTROLE_DIARIO!I365</f>
        <v>0</v>
      </c>
      <c r="J364" s="3" t="str">
        <f>CONTROLE_DIARIO!J365</f>
        <v/>
      </c>
      <c r="K364" s="3" t="str">
        <f>CONTROLE_DIARIO!K365</f>
        <v/>
      </c>
      <c r="L364" s="51">
        <f>CONTROLE_DIARIO!L365</f>
        <v>0</v>
      </c>
      <c r="M364" s="51">
        <f>CONTROLE_DIARIO!M365</f>
        <v>0</v>
      </c>
      <c r="N364" s="3">
        <f>CONTROLE_DIARIO!N365</f>
        <v>0</v>
      </c>
      <c r="O364" s="3" t="str">
        <f>CONTROLE_DIARIO!O365</f>
        <v/>
      </c>
      <c r="P364" s="51" t="str">
        <f>CONTROLE_DIARIO!P365</f>
        <v/>
      </c>
      <c r="Q364" s="6">
        <f t="shared" si="40"/>
        <v>0</v>
      </c>
      <c r="R364" s="54" t="str">
        <f t="shared" si="41"/>
        <v>OK</v>
      </c>
      <c r="S364" s="3" t="str">
        <f t="shared" si="42"/>
        <v>jan/yy</v>
      </c>
      <c r="T364" s="3">
        <f t="shared" si="43"/>
        <v>1</v>
      </c>
      <c r="U364" s="3">
        <f t="shared" si="44"/>
        <v>1900</v>
      </c>
      <c r="V364" s="6">
        <f t="shared" si="45"/>
        <v>0</v>
      </c>
      <c r="W364" s="3" t="str">
        <f t="shared" si="46"/>
        <v>CRÍTICO</v>
      </c>
    </row>
    <row r="365" spans="1:23" x14ac:dyDescent="0.25">
      <c r="A365" s="2">
        <f>CONTROLE_DIARIO!A366</f>
        <v>0</v>
      </c>
      <c r="B365" s="51">
        <f>CONTROLE_DIARIO!B366</f>
        <v>0</v>
      </c>
      <c r="C365" s="3">
        <f>CONTROLE_DIARIO!C366</f>
        <v>0</v>
      </c>
      <c r="D365" s="3">
        <f>CONTROLE_DIARIO!D366</f>
        <v>0</v>
      </c>
      <c r="E365" s="3">
        <f>CONTROLE_DIARIO!E366</f>
        <v>0</v>
      </c>
      <c r="F365" s="3">
        <f>CONTROLE_DIARIO!F366</f>
        <v>0</v>
      </c>
      <c r="G365" s="3">
        <f>CONTROLE_DIARIO!G366</f>
        <v>0</v>
      </c>
      <c r="H365" s="3">
        <f>CONTROLE_DIARIO!H366</f>
        <v>0</v>
      </c>
      <c r="I365" s="3">
        <f>CONTROLE_DIARIO!I366</f>
        <v>0</v>
      </c>
      <c r="J365" s="3" t="str">
        <f>CONTROLE_DIARIO!J366</f>
        <v/>
      </c>
      <c r="K365" s="3" t="str">
        <f>CONTROLE_DIARIO!K366</f>
        <v/>
      </c>
      <c r="L365" s="51">
        <f>CONTROLE_DIARIO!L366</f>
        <v>0</v>
      </c>
      <c r="M365" s="51">
        <f>CONTROLE_DIARIO!M366</f>
        <v>0</v>
      </c>
      <c r="N365" s="3">
        <f>CONTROLE_DIARIO!N366</f>
        <v>0</v>
      </c>
      <c r="O365" s="3" t="str">
        <f>CONTROLE_DIARIO!O366</f>
        <v/>
      </c>
      <c r="P365" s="51" t="str">
        <f>CONTROLE_DIARIO!P366</f>
        <v/>
      </c>
      <c r="Q365" s="6">
        <f t="shared" si="40"/>
        <v>0</v>
      </c>
      <c r="R365" s="54" t="str">
        <f t="shared" si="41"/>
        <v>OK</v>
      </c>
      <c r="S365" s="3" t="str">
        <f t="shared" si="42"/>
        <v>jan/yy</v>
      </c>
      <c r="T365" s="3">
        <f t="shared" si="43"/>
        <v>1</v>
      </c>
      <c r="U365" s="3">
        <f t="shared" si="44"/>
        <v>1900</v>
      </c>
      <c r="V365" s="6">
        <f t="shared" si="45"/>
        <v>0</v>
      </c>
      <c r="W365" s="3" t="str">
        <f t="shared" si="46"/>
        <v>CRÍTICO</v>
      </c>
    </row>
    <row r="366" spans="1:23" x14ac:dyDescent="0.25">
      <c r="A366" s="2">
        <f>CONTROLE_DIARIO!A367</f>
        <v>0</v>
      </c>
      <c r="B366" s="51">
        <f>CONTROLE_DIARIO!B367</f>
        <v>0</v>
      </c>
      <c r="C366" s="3">
        <f>CONTROLE_DIARIO!C367</f>
        <v>0</v>
      </c>
      <c r="D366" s="3">
        <f>CONTROLE_DIARIO!D367</f>
        <v>0</v>
      </c>
      <c r="E366" s="3">
        <f>CONTROLE_DIARIO!E367</f>
        <v>0</v>
      </c>
      <c r="F366" s="3">
        <f>CONTROLE_DIARIO!F367</f>
        <v>0</v>
      </c>
      <c r="G366" s="3">
        <f>CONTROLE_DIARIO!G367</f>
        <v>0</v>
      </c>
      <c r="H366" s="3">
        <f>CONTROLE_DIARIO!H367</f>
        <v>0</v>
      </c>
      <c r="I366" s="3">
        <f>CONTROLE_DIARIO!I367</f>
        <v>0</v>
      </c>
      <c r="J366" s="3" t="str">
        <f>CONTROLE_DIARIO!J367</f>
        <v/>
      </c>
      <c r="K366" s="3" t="str">
        <f>CONTROLE_DIARIO!K367</f>
        <v/>
      </c>
      <c r="L366" s="51">
        <f>CONTROLE_DIARIO!L367</f>
        <v>0</v>
      </c>
      <c r="M366" s="51">
        <f>CONTROLE_DIARIO!M367</f>
        <v>0</v>
      </c>
      <c r="N366" s="3">
        <f>CONTROLE_DIARIO!N367</f>
        <v>0</v>
      </c>
      <c r="O366" s="3" t="str">
        <f>CONTROLE_DIARIO!O367</f>
        <v/>
      </c>
      <c r="P366" s="51" t="str">
        <f>CONTROLE_DIARIO!P367</f>
        <v/>
      </c>
      <c r="Q366" s="6">
        <f t="shared" si="40"/>
        <v>0</v>
      </c>
      <c r="R366" s="54" t="str">
        <f t="shared" si="41"/>
        <v>OK</v>
      </c>
      <c r="S366" s="3" t="str">
        <f t="shared" si="42"/>
        <v>jan/yy</v>
      </c>
      <c r="T366" s="3">
        <f t="shared" si="43"/>
        <v>1</v>
      </c>
      <c r="U366" s="3">
        <f t="shared" si="44"/>
        <v>1900</v>
      </c>
      <c r="V366" s="6">
        <f t="shared" si="45"/>
        <v>0</v>
      </c>
      <c r="W366" s="3" t="str">
        <f t="shared" si="46"/>
        <v>CRÍTICO</v>
      </c>
    </row>
    <row r="367" spans="1:23" x14ac:dyDescent="0.25">
      <c r="A367" s="2">
        <f>CONTROLE_DIARIO!A368</f>
        <v>0</v>
      </c>
      <c r="B367" s="51">
        <f>CONTROLE_DIARIO!B368</f>
        <v>0</v>
      </c>
      <c r="C367" s="3">
        <f>CONTROLE_DIARIO!C368</f>
        <v>0</v>
      </c>
      <c r="D367" s="3">
        <f>CONTROLE_DIARIO!D368</f>
        <v>0</v>
      </c>
      <c r="E367" s="3">
        <f>CONTROLE_DIARIO!E368</f>
        <v>0</v>
      </c>
      <c r="F367" s="3">
        <f>CONTROLE_DIARIO!F368</f>
        <v>0</v>
      </c>
      <c r="G367" s="3">
        <f>CONTROLE_DIARIO!G368</f>
        <v>0</v>
      </c>
      <c r="H367" s="3">
        <f>CONTROLE_DIARIO!H368</f>
        <v>0</v>
      </c>
      <c r="I367" s="3">
        <f>CONTROLE_DIARIO!I368</f>
        <v>0</v>
      </c>
      <c r="J367" s="3" t="str">
        <f>CONTROLE_DIARIO!J368</f>
        <v/>
      </c>
      <c r="K367" s="3" t="str">
        <f>CONTROLE_DIARIO!K368</f>
        <v/>
      </c>
      <c r="L367" s="51">
        <f>CONTROLE_DIARIO!L368</f>
        <v>0</v>
      </c>
      <c r="M367" s="51">
        <f>CONTROLE_DIARIO!M368</f>
        <v>0</v>
      </c>
      <c r="N367" s="3">
        <f>CONTROLE_DIARIO!N368</f>
        <v>0</v>
      </c>
      <c r="O367" s="3" t="str">
        <f>CONTROLE_DIARIO!O368</f>
        <v/>
      </c>
      <c r="P367" s="51" t="str">
        <f>CONTROLE_DIARIO!P368</f>
        <v/>
      </c>
      <c r="Q367" s="6">
        <f t="shared" si="40"/>
        <v>0</v>
      </c>
      <c r="R367" s="54" t="str">
        <f t="shared" si="41"/>
        <v>OK</v>
      </c>
      <c r="S367" s="3" t="str">
        <f t="shared" si="42"/>
        <v>jan/yy</v>
      </c>
      <c r="T367" s="3">
        <f t="shared" si="43"/>
        <v>1</v>
      </c>
      <c r="U367" s="3">
        <f t="shared" si="44"/>
        <v>1900</v>
      </c>
      <c r="V367" s="6">
        <f t="shared" si="45"/>
        <v>0</v>
      </c>
      <c r="W367" s="3" t="str">
        <f t="shared" si="46"/>
        <v>CRÍTICO</v>
      </c>
    </row>
    <row r="368" spans="1:23" x14ac:dyDescent="0.25">
      <c r="A368" s="2">
        <f>CONTROLE_DIARIO!A369</f>
        <v>0</v>
      </c>
      <c r="B368" s="51">
        <f>CONTROLE_DIARIO!B369</f>
        <v>0</v>
      </c>
      <c r="C368" s="3">
        <f>CONTROLE_DIARIO!C369</f>
        <v>0</v>
      </c>
      <c r="D368" s="3">
        <f>CONTROLE_DIARIO!D369</f>
        <v>0</v>
      </c>
      <c r="E368" s="3">
        <f>CONTROLE_DIARIO!E369</f>
        <v>0</v>
      </c>
      <c r="F368" s="3">
        <f>CONTROLE_DIARIO!F369</f>
        <v>0</v>
      </c>
      <c r="G368" s="3">
        <f>CONTROLE_DIARIO!G369</f>
        <v>0</v>
      </c>
      <c r="H368" s="3">
        <f>CONTROLE_DIARIO!H369</f>
        <v>0</v>
      </c>
      <c r="I368" s="3">
        <f>CONTROLE_DIARIO!I369</f>
        <v>0</v>
      </c>
      <c r="J368" s="3" t="str">
        <f>CONTROLE_DIARIO!J369</f>
        <v/>
      </c>
      <c r="K368" s="3" t="str">
        <f>CONTROLE_DIARIO!K369</f>
        <v/>
      </c>
      <c r="L368" s="51">
        <f>CONTROLE_DIARIO!L369</f>
        <v>0</v>
      </c>
      <c r="M368" s="51">
        <f>CONTROLE_DIARIO!M369</f>
        <v>0</v>
      </c>
      <c r="N368" s="3">
        <f>CONTROLE_DIARIO!N369</f>
        <v>0</v>
      </c>
      <c r="O368" s="3" t="str">
        <f>CONTROLE_DIARIO!O369</f>
        <v/>
      </c>
      <c r="P368" s="51" t="str">
        <f>CONTROLE_DIARIO!P369</f>
        <v/>
      </c>
      <c r="Q368" s="6">
        <f t="shared" si="40"/>
        <v>0</v>
      </c>
      <c r="R368" s="54" t="str">
        <f t="shared" si="41"/>
        <v>OK</v>
      </c>
      <c r="S368" s="3" t="str">
        <f t="shared" si="42"/>
        <v>jan/yy</v>
      </c>
      <c r="T368" s="3">
        <f t="shared" si="43"/>
        <v>1</v>
      </c>
      <c r="U368" s="3">
        <f t="shared" si="44"/>
        <v>1900</v>
      </c>
      <c r="V368" s="6">
        <f t="shared" si="45"/>
        <v>0</v>
      </c>
      <c r="W368" s="3" t="str">
        <f t="shared" si="46"/>
        <v>CRÍTICO</v>
      </c>
    </row>
    <row r="369" spans="1:23" x14ac:dyDescent="0.25">
      <c r="A369" s="2">
        <f>CONTROLE_DIARIO!A370</f>
        <v>0</v>
      </c>
      <c r="B369" s="51">
        <f>CONTROLE_DIARIO!B370</f>
        <v>0</v>
      </c>
      <c r="C369" s="3">
        <f>CONTROLE_DIARIO!C370</f>
        <v>0</v>
      </c>
      <c r="D369" s="3">
        <f>CONTROLE_DIARIO!D370</f>
        <v>0</v>
      </c>
      <c r="E369" s="3">
        <f>CONTROLE_DIARIO!E370</f>
        <v>0</v>
      </c>
      <c r="F369" s="3">
        <f>CONTROLE_DIARIO!F370</f>
        <v>0</v>
      </c>
      <c r="G369" s="3">
        <f>CONTROLE_DIARIO!G370</f>
        <v>0</v>
      </c>
      <c r="H369" s="3">
        <f>CONTROLE_DIARIO!H370</f>
        <v>0</v>
      </c>
      <c r="I369" s="3">
        <f>CONTROLE_DIARIO!I370</f>
        <v>0</v>
      </c>
      <c r="J369" s="3" t="str">
        <f>CONTROLE_DIARIO!J370</f>
        <v/>
      </c>
      <c r="K369" s="3" t="str">
        <f>CONTROLE_DIARIO!K370</f>
        <v/>
      </c>
      <c r="L369" s="51">
        <f>CONTROLE_DIARIO!L370</f>
        <v>0</v>
      </c>
      <c r="M369" s="51">
        <f>CONTROLE_DIARIO!M370</f>
        <v>0</v>
      </c>
      <c r="N369" s="3">
        <f>CONTROLE_DIARIO!N370</f>
        <v>0</v>
      </c>
      <c r="O369" s="3" t="str">
        <f>CONTROLE_DIARIO!O370</f>
        <v/>
      </c>
      <c r="P369" s="51" t="str">
        <f>CONTROLE_DIARIO!P370</f>
        <v/>
      </c>
      <c r="Q369" s="6">
        <f t="shared" si="40"/>
        <v>0</v>
      </c>
      <c r="R369" s="54" t="str">
        <f t="shared" si="41"/>
        <v>OK</v>
      </c>
      <c r="S369" s="3" t="str">
        <f t="shared" si="42"/>
        <v>jan/yy</v>
      </c>
      <c r="T369" s="3">
        <f t="shared" si="43"/>
        <v>1</v>
      </c>
      <c r="U369" s="3">
        <f t="shared" si="44"/>
        <v>1900</v>
      </c>
      <c r="V369" s="6">
        <f t="shared" si="45"/>
        <v>0</v>
      </c>
      <c r="W369" s="3" t="str">
        <f t="shared" si="46"/>
        <v>CRÍTICO</v>
      </c>
    </row>
    <row r="370" spans="1:23" x14ac:dyDescent="0.25">
      <c r="A370" s="2">
        <f>CONTROLE_DIARIO!A371</f>
        <v>0</v>
      </c>
      <c r="B370" s="51">
        <f>CONTROLE_DIARIO!B371</f>
        <v>0</v>
      </c>
      <c r="C370" s="3">
        <f>CONTROLE_DIARIO!C371</f>
        <v>0</v>
      </c>
      <c r="D370" s="3">
        <f>CONTROLE_DIARIO!D371</f>
        <v>0</v>
      </c>
      <c r="E370" s="3">
        <f>CONTROLE_DIARIO!E371</f>
        <v>0</v>
      </c>
      <c r="F370" s="3">
        <f>CONTROLE_DIARIO!F371</f>
        <v>0</v>
      </c>
      <c r="G370" s="3">
        <f>CONTROLE_DIARIO!G371</f>
        <v>0</v>
      </c>
      <c r="H370" s="3">
        <f>CONTROLE_DIARIO!H371</f>
        <v>0</v>
      </c>
      <c r="I370" s="3">
        <f>CONTROLE_DIARIO!I371</f>
        <v>0</v>
      </c>
      <c r="J370" s="3" t="str">
        <f>CONTROLE_DIARIO!J371</f>
        <v/>
      </c>
      <c r="K370" s="3" t="str">
        <f>CONTROLE_DIARIO!K371</f>
        <v/>
      </c>
      <c r="L370" s="51">
        <f>CONTROLE_DIARIO!L371</f>
        <v>0</v>
      </c>
      <c r="M370" s="51">
        <f>CONTROLE_DIARIO!M371</f>
        <v>0</v>
      </c>
      <c r="N370" s="3">
        <f>CONTROLE_DIARIO!N371</f>
        <v>0</v>
      </c>
      <c r="O370" s="3" t="str">
        <f>CONTROLE_DIARIO!O371</f>
        <v/>
      </c>
      <c r="P370" s="51" t="str">
        <f>CONTROLE_DIARIO!P371</f>
        <v/>
      </c>
      <c r="Q370" s="6">
        <f t="shared" si="40"/>
        <v>0</v>
      </c>
      <c r="R370" s="54" t="str">
        <f t="shared" si="41"/>
        <v>OK</v>
      </c>
      <c r="S370" s="3" t="str">
        <f t="shared" si="42"/>
        <v>jan/yy</v>
      </c>
      <c r="T370" s="3">
        <f t="shared" si="43"/>
        <v>1</v>
      </c>
      <c r="U370" s="3">
        <f t="shared" si="44"/>
        <v>1900</v>
      </c>
      <c r="V370" s="6">
        <f t="shared" si="45"/>
        <v>0</v>
      </c>
      <c r="W370" s="3" t="str">
        <f t="shared" si="46"/>
        <v>CRÍTICO</v>
      </c>
    </row>
    <row r="371" spans="1:23" x14ac:dyDescent="0.25">
      <c r="A371" s="2">
        <f>CONTROLE_DIARIO!A372</f>
        <v>0</v>
      </c>
      <c r="B371" s="51">
        <f>CONTROLE_DIARIO!B372</f>
        <v>0</v>
      </c>
      <c r="C371" s="3">
        <f>CONTROLE_DIARIO!C372</f>
        <v>0</v>
      </c>
      <c r="D371" s="3">
        <f>CONTROLE_DIARIO!D372</f>
        <v>0</v>
      </c>
      <c r="E371" s="3">
        <f>CONTROLE_DIARIO!E372</f>
        <v>0</v>
      </c>
      <c r="F371" s="3">
        <f>CONTROLE_DIARIO!F372</f>
        <v>0</v>
      </c>
      <c r="G371" s="3">
        <f>CONTROLE_DIARIO!G372</f>
        <v>0</v>
      </c>
      <c r="H371" s="3">
        <f>CONTROLE_DIARIO!H372</f>
        <v>0</v>
      </c>
      <c r="I371" s="3">
        <f>CONTROLE_DIARIO!I372</f>
        <v>0</v>
      </c>
      <c r="J371" s="3" t="str">
        <f>CONTROLE_DIARIO!J372</f>
        <v/>
      </c>
      <c r="K371" s="3" t="str">
        <f>CONTROLE_DIARIO!K372</f>
        <v/>
      </c>
      <c r="L371" s="51">
        <f>CONTROLE_DIARIO!L372</f>
        <v>0</v>
      </c>
      <c r="M371" s="51">
        <f>CONTROLE_DIARIO!M372</f>
        <v>0</v>
      </c>
      <c r="N371" s="3">
        <f>CONTROLE_DIARIO!N372</f>
        <v>0</v>
      </c>
      <c r="O371" s="3" t="str">
        <f>CONTROLE_DIARIO!O372</f>
        <v/>
      </c>
      <c r="P371" s="51" t="str">
        <f>CONTROLE_DIARIO!P372</f>
        <v/>
      </c>
      <c r="Q371" s="6">
        <f t="shared" si="40"/>
        <v>0</v>
      </c>
      <c r="R371" s="54" t="str">
        <f t="shared" si="41"/>
        <v>OK</v>
      </c>
      <c r="S371" s="3" t="str">
        <f t="shared" si="42"/>
        <v>jan/yy</v>
      </c>
      <c r="T371" s="3">
        <f t="shared" si="43"/>
        <v>1</v>
      </c>
      <c r="U371" s="3">
        <f t="shared" si="44"/>
        <v>1900</v>
      </c>
      <c r="V371" s="6">
        <f t="shared" si="45"/>
        <v>0</v>
      </c>
      <c r="W371" s="3" t="str">
        <f t="shared" si="46"/>
        <v>CRÍTICO</v>
      </c>
    </row>
    <row r="372" spans="1:23" x14ac:dyDescent="0.25">
      <c r="A372" s="2">
        <f>CONTROLE_DIARIO!A373</f>
        <v>0</v>
      </c>
      <c r="B372" s="51">
        <f>CONTROLE_DIARIO!B373</f>
        <v>0</v>
      </c>
      <c r="C372" s="3">
        <f>CONTROLE_DIARIO!C373</f>
        <v>0</v>
      </c>
      <c r="D372" s="3">
        <f>CONTROLE_DIARIO!D373</f>
        <v>0</v>
      </c>
      <c r="E372" s="3">
        <f>CONTROLE_DIARIO!E373</f>
        <v>0</v>
      </c>
      <c r="F372" s="3">
        <f>CONTROLE_DIARIO!F373</f>
        <v>0</v>
      </c>
      <c r="G372" s="3">
        <f>CONTROLE_DIARIO!G373</f>
        <v>0</v>
      </c>
      <c r="H372" s="3">
        <f>CONTROLE_DIARIO!H373</f>
        <v>0</v>
      </c>
      <c r="I372" s="3">
        <f>CONTROLE_DIARIO!I373</f>
        <v>0</v>
      </c>
      <c r="J372" s="3" t="str">
        <f>CONTROLE_DIARIO!J373</f>
        <v/>
      </c>
      <c r="K372" s="3" t="str">
        <f>CONTROLE_DIARIO!K373</f>
        <v/>
      </c>
      <c r="L372" s="51">
        <f>CONTROLE_DIARIO!L373</f>
        <v>0</v>
      </c>
      <c r="M372" s="51">
        <f>CONTROLE_DIARIO!M373</f>
        <v>0</v>
      </c>
      <c r="N372" s="3">
        <f>CONTROLE_DIARIO!N373</f>
        <v>0</v>
      </c>
      <c r="O372" s="3" t="str">
        <f>CONTROLE_DIARIO!O373</f>
        <v/>
      </c>
      <c r="P372" s="51" t="str">
        <f>CONTROLE_DIARIO!P373</f>
        <v/>
      </c>
      <c r="Q372" s="6">
        <f t="shared" si="40"/>
        <v>0</v>
      </c>
      <c r="R372" s="54" t="str">
        <f t="shared" si="41"/>
        <v>OK</v>
      </c>
      <c r="S372" s="3" t="str">
        <f t="shared" si="42"/>
        <v>jan/yy</v>
      </c>
      <c r="T372" s="3">
        <f t="shared" si="43"/>
        <v>1</v>
      </c>
      <c r="U372" s="3">
        <f t="shared" si="44"/>
        <v>1900</v>
      </c>
      <c r="V372" s="6">
        <f t="shared" si="45"/>
        <v>0</v>
      </c>
      <c r="W372" s="3" t="str">
        <f t="shared" si="46"/>
        <v>CRÍTICO</v>
      </c>
    </row>
    <row r="373" spans="1:23" x14ac:dyDescent="0.25">
      <c r="A373" s="2">
        <f>CONTROLE_DIARIO!A374</f>
        <v>0</v>
      </c>
      <c r="B373" s="51">
        <f>CONTROLE_DIARIO!B374</f>
        <v>0</v>
      </c>
      <c r="C373" s="3">
        <f>CONTROLE_DIARIO!C374</f>
        <v>0</v>
      </c>
      <c r="D373" s="3">
        <f>CONTROLE_DIARIO!D374</f>
        <v>0</v>
      </c>
      <c r="E373" s="3">
        <f>CONTROLE_DIARIO!E374</f>
        <v>0</v>
      </c>
      <c r="F373" s="3">
        <f>CONTROLE_DIARIO!F374</f>
        <v>0</v>
      </c>
      <c r="G373" s="3">
        <f>CONTROLE_DIARIO!G374</f>
        <v>0</v>
      </c>
      <c r="H373" s="3">
        <f>CONTROLE_DIARIO!H374</f>
        <v>0</v>
      </c>
      <c r="I373" s="3">
        <f>CONTROLE_DIARIO!I374</f>
        <v>0</v>
      </c>
      <c r="J373" s="3" t="str">
        <f>CONTROLE_DIARIO!J374</f>
        <v/>
      </c>
      <c r="K373" s="3" t="str">
        <f>CONTROLE_DIARIO!K374</f>
        <v/>
      </c>
      <c r="L373" s="51">
        <f>CONTROLE_DIARIO!L374</f>
        <v>0</v>
      </c>
      <c r="M373" s="51">
        <f>CONTROLE_DIARIO!M374</f>
        <v>0</v>
      </c>
      <c r="N373" s="3">
        <f>CONTROLE_DIARIO!N374</f>
        <v>0</v>
      </c>
      <c r="O373" s="3" t="str">
        <f>CONTROLE_DIARIO!O374</f>
        <v/>
      </c>
      <c r="P373" s="51" t="str">
        <f>CONTROLE_DIARIO!P374</f>
        <v/>
      </c>
      <c r="Q373" s="6">
        <f t="shared" si="40"/>
        <v>0</v>
      </c>
      <c r="R373" s="54" t="str">
        <f t="shared" si="41"/>
        <v>OK</v>
      </c>
      <c r="S373" s="3" t="str">
        <f t="shared" si="42"/>
        <v>jan/yy</v>
      </c>
      <c r="T373" s="3">
        <f t="shared" si="43"/>
        <v>1</v>
      </c>
      <c r="U373" s="3">
        <f t="shared" si="44"/>
        <v>1900</v>
      </c>
      <c r="V373" s="6">
        <f t="shared" si="45"/>
        <v>0</v>
      </c>
      <c r="W373" s="3" t="str">
        <f t="shared" si="46"/>
        <v>CRÍTICO</v>
      </c>
    </row>
    <row r="374" spans="1:23" x14ac:dyDescent="0.25">
      <c r="A374" s="2">
        <f>CONTROLE_DIARIO!A375</f>
        <v>0</v>
      </c>
      <c r="B374" s="51">
        <f>CONTROLE_DIARIO!B375</f>
        <v>0</v>
      </c>
      <c r="C374" s="3">
        <f>CONTROLE_DIARIO!C375</f>
        <v>0</v>
      </c>
      <c r="D374" s="3">
        <f>CONTROLE_DIARIO!D375</f>
        <v>0</v>
      </c>
      <c r="E374" s="3">
        <f>CONTROLE_DIARIO!E375</f>
        <v>0</v>
      </c>
      <c r="F374" s="3">
        <f>CONTROLE_DIARIO!F375</f>
        <v>0</v>
      </c>
      <c r="G374" s="3">
        <f>CONTROLE_DIARIO!G375</f>
        <v>0</v>
      </c>
      <c r="H374" s="3">
        <f>CONTROLE_DIARIO!H375</f>
        <v>0</v>
      </c>
      <c r="I374" s="3">
        <f>CONTROLE_DIARIO!I375</f>
        <v>0</v>
      </c>
      <c r="J374" s="3" t="str">
        <f>CONTROLE_DIARIO!J375</f>
        <v/>
      </c>
      <c r="K374" s="3" t="str">
        <f>CONTROLE_DIARIO!K375</f>
        <v/>
      </c>
      <c r="L374" s="51">
        <f>CONTROLE_DIARIO!L375</f>
        <v>0</v>
      </c>
      <c r="M374" s="51">
        <f>CONTROLE_DIARIO!M375</f>
        <v>0</v>
      </c>
      <c r="N374" s="3">
        <f>CONTROLE_DIARIO!N375</f>
        <v>0</v>
      </c>
      <c r="O374" s="3" t="str">
        <f>CONTROLE_DIARIO!O375</f>
        <v/>
      </c>
      <c r="P374" s="51" t="str">
        <f>CONTROLE_DIARIO!P375</f>
        <v/>
      </c>
      <c r="Q374" s="6">
        <f t="shared" si="40"/>
        <v>0</v>
      </c>
      <c r="R374" s="54" t="str">
        <f t="shared" si="41"/>
        <v>OK</v>
      </c>
      <c r="S374" s="3" t="str">
        <f t="shared" si="42"/>
        <v>jan/yy</v>
      </c>
      <c r="T374" s="3">
        <f t="shared" si="43"/>
        <v>1</v>
      </c>
      <c r="U374" s="3">
        <f t="shared" si="44"/>
        <v>1900</v>
      </c>
      <c r="V374" s="6">
        <f t="shared" si="45"/>
        <v>0</v>
      </c>
      <c r="W374" s="3" t="str">
        <f t="shared" si="46"/>
        <v>CRÍTICO</v>
      </c>
    </row>
    <row r="375" spans="1:23" x14ac:dyDescent="0.25">
      <c r="A375" s="2">
        <f>CONTROLE_DIARIO!A376</f>
        <v>0</v>
      </c>
      <c r="B375" s="51">
        <f>CONTROLE_DIARIO!B376</f>
        <v>0</v>
      </c>
      <c r="C375" s="3">
        <f>CONTROLE_DIARIO!C376</f>
        <v>0</v>
      </c>
      <c r="D375" s="3">
        <f>CONTROLE_DIARIO!D376</f>
        <v>0</v>
      </c>
      <c r="E375" s="3">
        <f>CONTROLE_DIARIO!E376</f>
        <v>0</v>
      </c>
      <c r="F375" s="3">
        <f>CONTROLE_DIARIO!F376</f>
        <v>0</v>
      </c>
      <c r="G375" s="3">
        <f>CONTROLE_DIARIO!G376</f>
        <v>0</v>
      </c>
      <c r="H375" s="3">
        <f>CONTROLE_DIARIO!H376</f>
        <v>0</v>
      </c>
      <c r="I375" s="3">
        <f>CONTROLE_DIARIO!I376</f>
        <v>0</v>
      </c>
      <c r="J375" s="3" t="str">
        <f>CONTROLE_DIARIO!J376</f>
        <v/>
      </c>
      <c r="K375" s="3" t="str">
        <f>CONTROLE_DIARIO!K376</f>
        <v/>
      </c>
      <c r="L375" s="51">
        <f>CONTROLE_DIARIO!L376</f>
        <v>0</v>
      </c>
      <c r="M375" s="51">
        <f>CONTROLE_DIARIO!M376</f>
        <v>0</v>
      </c>
      <c r="N375" s="3">
        <f>CONTROLE_DIARIO!N376</f>
        <v>0</v>
      </c>
      <c r="O375" s="3" t="str">
        <f>CONTROLE_DIARIO!O376</f>
        <v/>
      </c>
      <c r="P375" s="51" t="str">
        <f>CONTROLE_DIARIO!P376</f>
        <v/>
      </c>
      <c r="Q375" s="6">
        <f t="shared" si="40"/>
        <v>0</v>
      </c>
      <c r="R375" s="54" t="str">
        <f t="shared" si="41"/>
        <v>OK</v>
      </c>
      <c r="S375" s="3" t="str">
        <f t="shared" si="42"/>
        <v>jan/yy</v>
      </c>
      <c r="T375" s="3">
        <f t="shared" si="43"/>
        <v>1</v>
      </c>
      <c r="U375" s="3">
        <f t="shared" si="44"/>
        <v>1900</v>
      </c>
      <c r="V375" s="6">
        <f t="shared" si="45"/>
        <v>0</v>
      </c>
      <c r="W375" s="3" t="str">
        <f t="shared" si="46"/>
        <v>CRÍTICO</v>
      </c>
    </row>
    <row r="376" spans="1:23" x14ac:dyDescent="0.25">
      <c r="A376" s="2">
        <f>CONTROLE_DIARIO!A377</f>
        <v>0</v>
      </c>
      <c r="B376" s="51">
        <f>CONTROLE_DIARIO!B377</f>
        <v>0</v>
      </c>
      <c r="C376" s="3">
        <f>CONTROLE_DIARIO!C377</f>
        <v>0</v>
      </c>
      <c r="D376" s="3">
        <f>CONTROLE_DIARIO!D377</f>
        <v>0</v>
      </c>
      <c r="E376" s="3">
        <f>CONTROLE_DIARIO!E377</f>
        <v>0</v>
      </c>
      <c r="F376" s="3">
        <f>CONTROLE_DIARIO!F377</f>
        <v>0</v>
      </c>
      <c r="G376" s="3">
        <f>CONTROLE_DIARIO!G377</f>
        <v>0</v>
      </c>
      <c r="H376" s="3">
        <f>CONTROLE_DIARIO!H377</f>
        <v>0</v>
      </c>
      <c r="I376" s="3">
        <f>CONTROLE_DIARIO!I377</f>
        <v>0</v>
      </c>
      <c r="J376" s="3" t="str">
        <f>CONTROLE_DIARIO!J377</f>
        <v/>
      </c>
      <c r="K376" s="3" t="str">
        <f>CONTROLE_DIARIO!K377</f>
        <v/>
      </c>
      <c r="L376" s="51">
        <f>CONTROLE_DIARIO!L377</f>
        <v>0</v>
      </c>
      <c r="M376" s="51">
        <f>CONTROLE_DIARIO!M377</f>
        <v>0</v>
      </c>
      <c r="N376" s="3">
        <f>CONTROLE_DIARIO!N377</f>
        <v>0</v>
      </c>
      <c r="O376" s="3" t="str">
        <f>CONTROLE_DIARIO!O377</f>
        <v/>
      </c>
      <c r="P376" s="51" t="str">
        <f>CONTROLE_DIARIO!P377</f>
        <v/>
      </c>
      <c r="Q376" s="6">
        <f t="shared" si="40"/>
        <v>0</v>
      </c>
      <c r="R376" s="54" t="str">
        <f t="shared" si="41"/>
        <v>OK</v>
      </c>
      <c r="S376" s="3" t="str">
        <f t="shared" si="42"/>
        <v>jan/yy</v>
      </c>
      <c r="T376" s="3">
        <f t="shared" si="43"/>
        <v>1</v>
      </c>
      <c r="U376" s="3">
        <f t="shared" si="44"/>
        <v>1900</v>
      </c>
      <c r="V376" s="6">
        <f t="shared" si="45"/>
        <v>0</v>
      </c>
      <c r="W376" s="3" t="str">
        <f t="shared" si="46"/>
        <v>CRÍTICO</v>
      </c>
    </row>
    <row r="377" spans="1:23" x14ac:dyDescent="0.25">
      <c r="A377" s="2">
        <f>CONTROLE_DIARIO!A378</f>
        <v>0</v>
      </c>
      <c r="B377" s="51">
        <f>CONTROLE_DIARIO!B378</f>
        <v>0</v>
      </c>
      <c r="C377" s="3">
        <f>CONTROLE_DIARIO!C378</f>
        <v>0</v>
      </c>
      <c r="D377" s="3">
        <f>CONTROLE_DIARIO!D378</f>
        <v>0</v>
      </c>
      <c r="E377" s="3">
        <f>CONTROLE_DIARIO!E378</f>
        <v>0</v>
      </c>
      <c r="F377" s="3">
        <f>CONTROLE_DIARIO!F378</f>
        <v>0</v>
      </c>
      <c r="G377" s="3">
        <f>CONTROLE_DIARIO!G378</f>
        <v>0</v>
      </c>
      <c r="H377" s="3">
        <f>CONTROLE_DIARIO!H378</f>
        <v>0</v>
      </c>
      <c r="I377" s="3">
        <f>CONTROLE_DIARIO!I378</f>
        <v>0</v>
      </c>
      <c r="J377" s="3" t="str">
        <f>CONTROLE_DIARIO!J378</f>
        <v/>
      </c>
      <c r="K377" s="3" t="str">
        <f>CONTROLE_DIARIO!K378</f>
        <v/>
      </c>
      <c r="L377" s="51">
        <f>CONTROLE_DIARIO!L378</f>
        <v>0</v>
      </c>
      <c r="M377" s="51">
        <f>CONTROLE_DIARIO!M378</f>
        <v>0</v>
      </c>
      <c r="N377" s="3">
        <f>CONTROLE_DIARIO!N378</f>
        <v>0</v>
      </c>
      <c r="O377" s="3" t="str">
        <f>CONTROLE_DIARIO!O378</f>
        <v/>
      </c>
      <c r="P377" s="51" t="str">
        <f>CONTROLE_DIARIO!P378</f>
        <v/>
      </c>
      <c r="Q377" s="6">
        <f t="shared" si="40"/>
        <v>0</v>
      </c>
      <c r="R377" s="54" t="str">
        <f t="shared" si="41"/>
        <v>OK</v>
      </c>
      <c r="S377" s="3" t="str">
        <f t="shared" si="42"/>
        <v>jan/yy</v>
      </c>
      <c r="T377" s="3">
        <f t="shared" si="43"/>
        <v>1</v>
      </c>
      <c r="U377" s="3">
        <f t="shared" si="44"/>
        <v>1900</v>
      </c>
      <c r="V377" s="6">
        <f t="shared" si="45"/>
        <v>0</v>
      </c>
      <c r="W377" s="3" t="str">
        <f t="shared" si="46"/>
        <v>CRÍTICO</v>
      </c>
    </row>
    <row r="378" spans="1:23" x14ac:dyDescent="0.25">
      <c r="A378" s="2">
        <f>CONTROLE_DIARIO!A379</f>
        <v>0</v>
      </c>
      <c r="B378" s="51">
        <f>CONTROLE_DIARIO!B379</f>
        <v>0</v>
      </c>
      <c r="C378" s="3">
        <f>CONTROLE_DIARIO!C379</f>
        <v>0</v>
      </c>
      <c r="D378" s="3">
        <f>CONTROLE_DIARIO!D379</f>
        <v>0</v>
      </c>
      <c r="E378" s="3">
        <f>CONTROLE_DIARIO!E379</f>
        <v>0</v>
      </c>
      <c r="F378" s="3">
        <f>CONTROLE_DIARIO!F379</f>
        <v>0</v>
      </c>
      <c r="G378" s="3">
        <f>CONTROLE_DIARIO!G379</f>
        <v>0</v>
      </c>
      <c r="H378" s="3">
        <f>CONTROLE_DIARIO!H379</f>
        <v>0</v>
      </c>
      <c r="I378" s="3">
        <f>CONTROLE_DIARIO!I379</f>
        <v>0</v>
      </c>
      <c r="J378" s="3" t="str">
        <f>CONTROLE_DIARIO!J379</f>
        <v/>
      </c>
      <c r="K378" s="3" t="str">
        <f>CONTROLE_DIARIO!K379</f>
        <v/>
      </c>
      <c r="L378" s="51">
        <f>CONTROLE_DIARIO!L379</f>
        <v>0</v>
      </c>
      <c r="M378" s="51">
        <f>CONTROLE_DIARIO!M379</f>
        <v>0</v>
      </c>
      <c r="N378" s="3">
        <f>CONTROLE_DIARIO!N379</f>
        <v>0</v>
      </c>
      <c r="O378" s="3" t="str">
        <f>CONTROLE_DIARIO!O379</f>
        <v/>
      </c>
      <c r="P378" s="51" t="str">
        <f>CONTROLE_DIARIO!P379</f>
        <v/>
      </c>
      <c r="Q378" s="6">
        <f t="shared" si="40"/>
        <v>0</v>
      </c>
      <c r="R378" s="54" t="str">
        <f t="shared" si="41"/>
        <v>OK</v>
      </c>
      <c r="S378" s="3" t="str">
        <f t="shared" si="42"/>
        <v>jan/yy</v>
      </c>
      <c r="T378" s="3">
        <f t="shared" si="43"/>
        <v>1</v>
      </c>
      <c r="U378" s="3">
        <f t="shared" si="44"/>
        <v>1900</v>
      </c>
      <c r="V378" s="6">
        <f t="shared" si="45"/>
        <v>0</v>
      </c>
      <c r="W378" s="3" t="str">
        <f t="shared" si="46"/>
        <v>CRÍTICO</v>
      </c>
    </row>
    <row r="379" spans="1:23" x14ac:dyDescent="0.25">
      <c r="A379" s="2">
        <f>CONTROLE_DIARIO!A380</f>
        <v>0</v>
      </c>
      <c r="B379" s="51">
        <f>CONTROLE_DIARIO!B380</f>
        <v>0</v>
      </c>
      <c r="C379" s="3">
        <f>CONTROLE_DIARIO!C380</f>
        <v>0</v>
      </c>
      <c r="D379" s="3">
        <f>CONTROLE_DIARIO!D380</f>
        <v>0</v>
      </c>
      <c r="E379" s="3">
        <f>CONTROLE_DIARIO!E380</f>
        <v>0</v>
      </c>
      <c r="F379" s="3">
        <f>CONTROLE_DIARIO!F380</f>
        <v>0</v>
      </c>
      <c r="G379" s="3">
        <f>CONTROLE_DIARIO!G380</f>
        <v>0</v>
      </c>
      <c r="H379" s="3">
        <f>CONTROLE_DIARIO!H380</f>
        <v>0</v>
      </c>
      <c r="I379" s="3">
        <f>CONTROLE_DIARIO!I380</f>
        <v>0</v>
      </c>
      <c r="J379" s="3" t="str">
        <f>CONTROLE_DIARIO!J380</f>
        <v/>
      </c>
      <c r="K379" s="3" t="str">
        <f>CONTROLE_DIARIO!K380</f>
        <v/>
      </c>
      <c r="L379" s="51">
        <f>CONTROLE_DIARIO!L380</f>
        <v>0</v>
      </c>
      <c r="M379" s="51">
        <f>CONTROLE_DIARIO!M380</f>
        <v>0</v>
      </c>
      <c r="N379" s="3">
        <f>CONTROLE_DIARIO!N380</f>
        <v>0</v>
      </c>
      <c r="O379" s="3" t="str">
        <f>CONTROLE_DIARIO!O380</f>
        <v/>
      </c>
      <c r="P379" s="51" t="str">
        <f>CONTROLE_DIARIO!P380</f>
        <v/>
      </c>
      <c r="Q379" s="6">
        <f t="shared" si="40"/>
        <v>0</v>
      </c>
      <c r="R379" s="54" t="str">
        <f t="shared" si="41"/>
        <v>OK</v>
      </c>
      <c r="S379" s="3" t="str">
        <f t="shared" si="42"/>
        <v>jan/yy</v>
      </c>
      <c r="T379" s="3">
        <f t="shared" si="43"/>
        <v>1</v>
      </c>
      <c r="U379" s="3">
        <f t="shared" si="44"/>
        <v>1900</v>
      </c>
      <c r="V379" s="6">
        <f t="shared" si="45"/>
        <v>0</v>
      </c>
      <c r="W379" s="3" t="str">
        <f t="shared" si="46"/>
        <v>CRÍTICO</v>
      </c>
    </row>
    <row r="380" spans="1:23" x14ac:dyDescent="0.25">
      <c r="A380" s="2">
        <f>CONTROLE_DIARIO!A381</f>
        <v>0</v>
      </c>
      <c r="B380" s="51">
        <f>CONTROLE_DIARIO!B381</f>
        <v>0</v>
      </c>
      <c r="C380" s="3">
        <f>CONTROLE_DIARIO!C381</f>
        <v>0</v>
      </c>
      <c r="D380" s="3">
        <f>CONTROLE_DIARIO!D381</f>
        <v>0</v>
      </c>
      <c r="E380" s="3">
        <f>CONTROLE_DIARIO!E381</f>
        <v>0</v>
      </c>
      <c r="F380" s="3">
        <f>CONTROLE_DIARIO!F381</f>
        <v>0</v>
      </c>
      <c r="G380" s="3">
        <f>CONTROLE_DIARIO!G381</f>
        <v>0</v>
      </c>
      <c r="H380" s="3">
        <f>CONTROLE_DIARIO!H381</f>
        <v>0</v>
      </c>
      <c r="I380" s="3">
        <f>CONTROLE_DIARIO!I381</f>
        <v>0</v>
      </c>
      <c r="J380" s="3" t="str">
        <f>CONTROLE_DIARIO!J381</f>
        <v/>
      </c>
      <c r="K380" s="3" t="str">
        <f>CONTROLE_DIARIO!K381</f>
        <v/>
      </c>
      <c r="L380" s="51">
        <f>CONTROLE_DIARIO!L381</f>
        <v>0</v>
      </c>
      <c r="M380" s="51">
        <f>CONTROLE_DIARIO!M381</f>
        <v>0</v>
      </c>
      <c r="N380" s="3">
        <f>CONTROLE_DIARIO!N381</f>
        <v>0</v>
      </c>
      <c r="O380" s="3" t="str">
        <f>CONTROLE_DIARIO!O381</f>
        <v/>
      </c>
      <c r="P380" s="51" t="str">
        <f>CONTROLE_DIARIO!P381</f>
        <v/>
      </c>
      <c r="Q380" s="6">
        <f t="shared" si="40"/>
        <v>0</v>
      </c>
      <c r="R380" s="54" t="str">
        <f t="shared" si="41"/>
        <v>OK</v>
      </c>
      <c r="S380" s="3" t="str">
        <f t="shared" si="42"/>
        <v>jan/yy</v>
      </c>
      <c r="T380" s="3">
        <f t="shared" si="43"/>
        <v>1</v>
      </c>
      <c r="U380" s="3">
        <f t="shared" si="44"/>
        <v>1900</v>
      </c>
      <c r="V380" s="6">
        <f t="shared" si="45"/>
        <v>0</v>
      </c>
      <c r="W380" s="3" t="str">
        <f t="shared" si="46"/>
        <v>CRÍTICO</v>
      </c>
    </row>
    <row r="381" spans="1:23" x14ac:dyDescent="0.25">
      <c r="A381" s="2">
        <f>CONTROLE_DIARIO!A382</f>
        <v>0</v>
      </c>
      <c r="B381" s="51">
        <f>CONTROLE_DIARIO!B382</f>
        <v>0</v>
      </c>
      <c r="C381" s="3">
        <f>CONTROLE_DIARIO!C382</f>
        <v>0</v>
      </c>
      <c r="D381" s="3">
        <f>CONTROLE_DIARIO!D382</f>
        <v>0</v>
      </c>
      <c r="E381" s="3">
        <f>CONTROLE_DIARIO!E382</f>
        <v>0</v>
      </c>
      <c r="F381" s="3">
        <f>CONTROLE_DIARIO!F382</f>
        <v>0</v>
      </c>
      <c r="G381" s="3">
        <f>CONTROLE_DIARIO!G382</f>
        <v>0</v>
      </c>
      <c r="H381" s="3">
        <f>CONTROLE_DIARIO!H382</f>
        <v>0</v>
      </c>
      <c r="I381" s="3">
        <f>CONTROLE_DIARIO!I382</f>
        <v>0</v>
      </c>
      <c r="J381" s="3" t="str">
        <f>CONTROLE_DIARIO!J382</f>
        <v/>
      </c>
      <c r="K381" s="3" t="str">
        <f>CONTROLE_DIARIO!K382</f>
        <v/>
      </c>
      <c r="L381" s="51">
        <f>CONTROLE_DIARIO!L382</f>
        <v>0</v>
      </c>
      <c r="M381" s="51">
        <f>CONTROLE_DIARIO!M382</f>
        <v>0</v>
      </c>
      <c r="N381" s="3">
        <f>CONTROLE_DIARIO!N382</f>
        <v>0</v>
      </c>
      <c r="O381" s="3" t="str">
        <f>CONTROLE_DIARIO!O382</f>
        <v/>
      </c>
      <c r="P381" s="51" t="str">
        <f>CONTROLE_DIARIO!P382</f>
        <v/>
      </c>
      <c r="Q381" s="6">
        <f t="shared" si="40"/>
        <v>0</v>
      </c>
      <c r="R381" s="54" t="str">
        <f t="shared" si="41"/>
        <v>OK</v>
      </c>
      <c r="S381" s="3" t="str">
        <f t="shared" si="42"/>
        <v>jan/yy</v>
      </c>
      <c r="T381" s="3">
        <f t="shared" si="43"/>
        <v>1</v>
      </c>
      <c r="U381" s="3">
        <f t="shared" si="44"/>
        <v>1900</v>
      </c>
      <c r="V381" s="6">
        <f t="shared" si="45"/>
        <v>0</v>
      </c>
      <c r="W381" s="3" t="str">
        <f t="shared" si="46"/>
        <v>CRÍTICO</v>
      </c>
    </row>
    <row r="382" spans="1:23" x14ac:dyDescent="0.25">
      <c r="A382" s="2">
        <f>CONTROLE_DIARIO!A383</f>
        <v>0</v>
      </c>
      <c r="B382" s="51">
        <f>CONTROLE_DIARIO!B383</f>
        <v>0</v>
      </c>
      <c r="C382" s="3">
        <f>CONTROLE_DIARIO!C383</f>
        <v>0</v>
      </c>
      <c r="D382" s="3">
        <f>CONTROLE_DIARIO!D383</f>
        <v>0</v>
      </c>
      <c r="E382" s="3">
        <f>CONTROLE_DIARIO!E383</f>
        <v>0</v>
      </c>
      <c r="F382" s="3">
        <f>CONTROLE_DIARIO!F383</f>
        <v>0</v>
      </c>
      <c r="G382" s="3">
        <f>CONTROLE_DIARIO!G383</f>
        <v>0</v>
      </c>
      <c r="H382" s="3">
        <f>CONTROLE_DIARIO!H383</f>
        <v>0</v>
      </c>
      <c r="I382" s="3">
        <f>CONTROLE_DIARIO!I383</f>
        <v>0</v>
      </c>
      <c r="J382" s="3" t="str">
        <f>CONTROLE_DIARIO!J383</f>
        <v/>
      </c>
      <c r="K382" s="3" t="str">
        <f>CONTROLE_DIARIO!K383</f>
        <v/>
      </c>
      <c r="L382" s="51">
        <f>CONTROLE_DIARIO!L383</f>
        <v>0</v>
      </c>
      <c r="M382" s="51">
        <f>CONTROLE_DIARIO!M383</f>
        <v>0</v>
      </c>
      <c r="N382" s="3">
        <f>CONTROLE_DIARIO!N383</f>
        <v>0</v>
      </c>
      <c r="O382" s="3" t="str">
        <f>CONTROLE_DIARIO!O383</f>
        <v/>
      </c>
      <c r="P382" s="51" t="str">
        <f>CONTROLE_DIARIO!P383</f>
        <v/>
      </c>
      <c r="Q382" s="6">
        <f t="shared" si="40"/>
        <v>0</v>
      </c>
      <c r="R382" s="54" t="str">
        <f t="shared" si="41"/>
        <v>OK</v>
      </c>
      <c r="S382" s="3" t="str">
        <f t="shared" si="42"/>
        <v>jan/yy</v>
      </c>
      <c r="T382" s="3">
        <f t="shared" si="43"/>
        <v>1</v>
      </c>
      <c r="U382" s="3">
        <f t="shared" si="44"/>
        <v>1900</v>
      </c>
      <c r="V382" s="6">
        <f t="shared" si="45"/>
        <v>0</v>
      </c>
      <c r="W382" s="3" t="str">
        <f t="shared" si="46"/>
        <v>CRÍTICO</v>
      </c>
    </row>
    <row r="383" spans="1:23" x14ac:dyDescent="0.25">
      <c r="A383" s="2">
        <f>CONTROLE_DIARIO!A384</f>
        <v>0</v>
      </c>
      <c r="B383" s="51">
        <f>CONTROLE_DIARIO!B384</f>
        <v>0</v>
      </c>
      <c r="C383" s="3">
        <f>CONTROLE_DIARIO!C384</f>
        <v>0</v>
      </c>
      <c r="D383" s="3">
        <f>CONTROLE_DIARIO!D384</f>
        <v>0</v>
      </c>
      <c r="E383" s="3">
        <f>CONTROLE_DIARIO!E384</f>
        <v>0</v>
      </c>
      <c r="F383" s="3">
        <f>CONTROLE_DIARIO!F384</f>
        <v>0</v>
      </c>
      <c r="G383" s="3">
        <f>CONTROLE_DIARIO!G384</f>
        <v>0</v>
      </c>
      <c r="H383" s="3">
        <f>CONTROLE_DIARIO!H384</f>
        <v>0</v>
      </c>
      <c r="I383" s="3">
        <f>CONTROLE_DIARIO!I384</f>
        <v>0</v>
      </c>
      <c r="J383" s="3" t="str">
        <f>CONTROLE_DIARIO!J384</f>
        <v/>
      </c>
      <c r="K383" s="3" t="str">
        <f>CONTROLE_DIARIO!K384</f>
        <v/>
      </c>
      <c r="L383" s="51">
        <f>CONTROLE_DIARIO!L384</f>
        <v>0</v>
      </c>
      <c r="M383" s="51">
        <f>CONTROLE_DIARIO!M384</f>
        <v>0</v>
      </c>
      <c r="N383" s="3">
        <f>CONTROLE_DIARIO!N384</f>
        <v>0</v>
      </c>
      <c r="O383" s="3" t="str">
        <f>CONTROLE_DIARIO!O384</f>
        <v/>
      </c>
      <c r="P383" s="51" t="str">
        <f>CONTROLE_DIARIO!P384</f>
        <v/>
      </c>
      <c r="Q383" s="6">
        <f t="shared" si="40"/>
        <v>0</v>
      </c>
      <c r="R383" s="54" t="str">
        <f t="shared" si="41"/>
        <v>OK</v>
      </c>
      <c r="S383" s="3" t="str">
        <f t="shared" si="42"/>
        <v>jan/yy</v>
      </c>
      <c r="T383" s="3">
        <f t="shared" si="43"/>
        <v>1</v>
      </c>
      <c r="U383" s="3">
        <f t="shared" si="44"/>
        <v>1900</v>
      </c>
      <c r="V383" s="6">
        <f t="shared" si="45"/>
        <v>0</v>
      </c>
      <c r="W383" s="3" t="str">
        <f t="shared" si="46"/>
        <v>CRÍTICO</v>
      </c>
    </row>
    <row r="384" spans="1:23" x14ac:dyDescent="0.25">
      <c r="A384" s="2">
        <f>CONTROLE_DIARIO!A385</f>
        <v>0</v>
      </c>
      <c r="B384" s="51">
        <f>CONTROLE_DIARIO!B385</f>
        <v>0</v>
      </c>
      <c r="C384" s="3">
        <f>CONTROLE_DIARIO!C385</f>
        <v>0</v>
      </c>
      <c r="D384" s="3">
        <f>CONTROLE_DIARIO!D385</f>
        <v>0</v>
      </c>
      <c r="E384" s="3">
        <f>CONTROLE_DIARIO!E385</f>
        <v>0</v>
      </c>
      <c r="F384" s="3">
        <f>CONTROLE_DIARIO!F385</f>
        <v>0</v>
      </c>
      <c r="G384" s="3">
        <f>CONTROLE_DIARIO!G385</f>
        <v>0</v>
      </c>
      <c r="H384" s="3">
        <f>CONTROLE_DIARIO!H385</f>
        <v>0</v>
      </c>
      <c r="I384" s="3">
        <f>CONTROLE_DIARIO!I385</f>
        <v>0</v>
      </c>
      <c r="J384" s="3" t="str">
        <f>CONTROLE_DIARIO!J385</f>
        <v/>
      </c>
      <c r="K384" s="3" t="str">
        <f>CONTROLE_DIARIO!K385</f>
        <v/>
      </c>
      <c r="L384" s="51">
        <f>CONTROLE_DIARIO!L385</f>
        <v>0</v>
      </c>
      <c r="M384" s="51">
        <f>CONTROLE_DIARIO!M385</f>
        <v>0</v>
      </c>
      <c r="N384" s="3">
        <f>CONTROLE_DIARIO!N385</f>
        <v>0</v>
      </c>
      <c r="O384" s="3" t="str">
        <f>CONTROLE_DIARIO!O385</f>
        <v/>
      </c>
      <c r="P384" s="51" t="str">
        <f>CONTROLE_DIARIO!P385</f>
        <v/>
      </c>
      <c r="Q384" s="6">
        <f t="shared" si="40"/>
        <v>0</v>
      </c>
      <c r="R384" s="54" t="str">
        <f t="shared" si="41"/>
        <v>OK</v>
      </c>
      <c r="S384" s="3" t="str">
        <f t="shared" si="42"/>
        <v>jan/yy</v>
      </c>
      <c r="T384" s="3">
        <f t="shared" si="43"/>
        <v>1</v>
      </c>
      <c r="U384" s="3">
        <f t="shared" si="44"/>
        <v>1900</v>
      </c>
      <c r="V384" s="6">
        <f t="shared" si="45"/>
        <v>0</v>
      </c>
      <c r="W384" s="3" t="str">
        <f t="shared" si="46"/>
        <v>CRÍTICO</v>
      </c>
    </row>
    <row r="385" spans="1:23" x14ac:dyDescent="0.25">
      <c r="A385" s="2">
        <f>CONTROLE_DIARIO!A386</f>
        <v>0</v>
      </c>
      <c r="B385" s="51">
        <f>CONTROLE_DIARIO!B386</f>
        <v>0</v>
      </c>
      <c r="C385" s="3">
        <f>CONTROLE_DIARIO!C386</f>
        <v>0</v>
      </c>
      <c r="D385" s="3">
        <f>CONTROLE_DIARIO!D386</f>
        <v>0</v>
      </c>
      <c r="E385" s="3">
        <f>CONTROLE_DIARIO!E386</f>
        <v>0</v>
      </c>
      <c r="F385" s="3">
        <f>CONTROLE_DIARIO!F386</f>
        <v>0</v>
      </c>
      <c r="G385" s="3">
        <f>CONTROLE_DIARIO!G386</f>
        <v>0</v>
      </c>
      <c r="H385" s="3">
        <f>CONTROLE_DIARIO!H386</f>
        <v>0</v>
      </c>
      <c r="I385" s="3">
        <f>CONTROLE_DIARIO!I386</f>
        <v>0</v>
      </c>
      <c r="J385" s="3" t="str">
        <f>CONTROLE_DIARIO!J386</f>
        <v/>
      </c>
      <c r="K385" s="3" t="str">
        <f>CONTROLE_DIARIO!K386</f>
        <v/>
      </c>
      <c r="L385" s="51">
        <f>CONTROLE_DIARIO!L386</f>
        <v>0</v>
      </c>
      <c r="M385" s="51">
        <f>CONTROLE_DIARIO!M386</f>
        <v>0</v>
      </c>
      <c r="N385" s="3">
        <f>CONTROLE_DIARIO!N386</f>
        <v>0</v>
      </c>
      <c r="O385" s="3" t="str">
        <f>CONTROLE_DIARIO!O386</f>
        <v/>
      </c>
      <c r="P385" s="51" t="str">
        <f>CONTROLE_DIARIO!P386</f>
        <v/>
      </c>
      <c r="Q385" s="6">
        <f t="shared" si="40"/>
        <v>0</v>
      </c>
      <c r="R385" s="54" t="str">
        <f t="shared" si="41"/>
        <v>OK</v>
      </c>
      <c r="S385" s="3" t="str">
        <f t="shared" si="42"/>
        <v>jan/yy</v>
      </c>
      <c r="T385" s="3">
        <f t="shared" si="43"/>
        <v>1</v>
      </c>
      <c r="U385" s="3">
        <f t="shared" si="44"/>
        <v>1900</v>
      </c>
      <c r="V385" s="6">
        <f t="shared" si="45"/>
        <v>0</v>
      </c>
      <c r="W385" s="3" t="str">
        <f t="shared" si="46"/>
        <v>CRÍTICO</v>
      </c>
    </row>
    <row r="386" spans="1:23" x14ac:dyDescent="0.25">
      <c r="A386" s="2">
        <f>CONTROLE_DIARIO!A387</f>
        <v>0</v>
      </c>
      <c r="B386" s="51">
        <f>CONTROLE_DIARIO!B387</f>
        <v>0</v>
      </c>
      <c r="C386" s="3">
        <f>CONTROLE_DIARIO!C387</f>
        <v>0</v>
      </c>
      <c r="D386" s="3">
        <f>CONTROLE_DIARIO!D387</f>
        <v>0</v>
      </c>
      <c r="E386" s="3">
        <f>CONTROLE_DIARIO!E387</f>
        <v>0</v>
      </c>
      <c r="F386" s="3">
        <f>CONTROLE_DIARIO!F387</f>
        <v>0</v>
      </c>
      <c r="G386" s="3">
        <f>CONTROLE_DIARIO!G387</f>
        <v>0</v>
      </c>
      <c r="H386" s="3">
        <f>CONTROLE_DIARIO!H387</f>
        <v>0</v>
      </c>
      <c r="I386" s="3">
        <f>CONTROLE_DIARIO!I387</f>
        <v>0</v>
      </c>
      <c r="J386" s="3" t="str">
        <f>CONTROLE_DIARIO!J387</f>
        <v/>
      </c>
      <c r="K386" s="3" t="str">
        <f>CONTROLE_DIARIO!K387</f>
        <v/>
      </c>
      <c r="L386" s="51">
        <f>CONTROLE_DIARIO!L387</f>
        <v>0</v>
      </c>
      <c r="M386" s="51">
        <f>CONTROLE_DIARIO!M387</f>
        <v>0</v>
      </c>
      <c r="N386" s="3">
        <f>CONTROLE_DIARIO!N387</f>
        <v>0</v>
      </c>
      <c r="O386" s="3" t="str">
        <f>CONTROLE_DIARIO!O387</f>
        <v/>
      </c>
      <c r="P386" s="51" t="str">
        <f>CONTROLE_DIARIO!P387</f>
        <v/>
      </c>
      <c r="Q386" s="6">
        <f t="shared" si="40"/>
        <v>0</v>
      </c>
      <c r="R386" s="54" t="str">
        <f t="shared" si="41"/>
        <v>OK</v>
      </c>
      <c r="S386" s="3" t="str">
        <f t="shared" si="42"/>
        <v>jan/yy</v>
      </c>
      <c r="T386" s="3">
        <f t="shared" si="43"/>
        <v>1</v>
      </c>
      <c r="U386" s="3">
        <f t="shared" si="44"/>
        <v>1900</v>
      </c>
      <c r="V386" s="6">
        <f t="shared" si="45"/>
        <v>0</v>
      </c>
      <c r="W386" s="3" t="str">
        <f t="shared" si="46"/>
        <v>CRÍTICO</v>
      </c>
    </row>
    <row r="387" spans="1:23" x14ac:dyDescent="0.25">
      <c r="A387" s="2">
        <f>CONTROLE_DIARIO!A388</f>
        <v>0</v>
      </c>
      <c r="B387" s="51">
        <f>CONTROLE_DIARIO!B388</f>
        <v>0</v>
      </c>
      <c r="C387" s="3">
        <f>CONTROLE_DIARIO!C388</f>
        <v>0</v>
      </c>
      <c r="D387" s="3">
        <f>CONTROLE_DIARIO!D388</f>
        <v>0</v>
      </c>
      <c r="E387" s="3">
        <f>CONTROLE_DIARIO!E388</f>
        <v>0</v>
      </c>
      <c r="F387" s="3">
        <f>CONTROLE_DIARIO!F388</f>
        <v>0</v>
      </c>
      <c r="G387" s="3">
        <f>CONTROLE_DIARIO!G388</f>
        <v>0</v>
      </c>
      <c r="H387" s="3">
        <f>CONTROLE_DIARIO!H388</f>
        <v>0</v>
      </c>
      <c r="I387" s="3">
        <f>CONTROLE_DIARIO!I388</f>
        <v>0</v>
      </c>
      <c r="J387" s="3" t="str">
        <f>CONTROLE_DIARIO!J388</f>
        <v/>
      </c>
      <c r="K387" s="3" t="str">
        <f>CONTROLE_DIARIO!K388</f>
        <v/>
      </c>
      <c r="L387" s="51">
        <f>CONTROLE_DIARIO!L388</f>
        <v>0</v>
      </c>
      <c r="M387" s="51">
        <f>CONTROLE_DIARIO!M388</f>
        <v>0</v>
      </c>
      <c r="N387" s="3">
        <f>CONTROLE_DIARIO!N388</f>
        <v>0</v>
      </c>
      <c r="O387" s="3" t="str">
        <f>CONTROLE_DIARIO!O388</f>
        <v/>
      </c>
      <c r="P387" s="51" t="str">
        <f>CONTROLE_DIARIO!P388</f>
        <v/>
      </c>
      <c r="Q387" s="6">
        <f t="shared" si="40"/>
        <v>0</v>
      </c>
      <c r="R387" s="54" t="str">
        <f t="shared" si="41"/>
        <v>OK</v>
      </c>
      <c r="S387" s="3" t="str">
        <f t="shared" si="42"/>
        <v>jan/yy</v>
      </c>
      <c r="T387" s="3">
        <f t="shared" si="43"/>
        <v>1</v>
      </c>
      <c r="U387" s="3">
        <f t="shared" si="44"/>
        <v>1900</v>
      </c>
      <c r="V387" s="6">
        <f t="shared" si="45"/>
        <v>0</v>
      </c>
      <c r="W387" s="3" t="str">
        <f t="shared" si="46"/>
        <v>CRÍTICO</v>
      </c>
    </row>
    <row r="388" spans="1:23" x14ac:dyDescent="0.25">
      <c r="A388" s="2">
        <f>CONTROLE_DIARIO!A389</f>
        <v>0</v>
      </c>
      <c r="B388" s="51">
        <f>CONTROLE_DIARIO!B389</f>
        <v>0</v>
      </c>
      <c r="C388" s="3">
        <f>CONTROLE_DIARIO!C389</f>
        <v>0</v>
      </c>
      <c r="D388" s="3">
        <f>CONTROLE_DIARIO!D389</f>
        <v>0</v>
      </c>
      <c r="E388" s="3">
        <f>CONTROLE_DIARIO!E389</f>
        <v>0</v>
      </c>
      <c r="F388" s="3">
        <f>CONTROLE_DIARIO!F389</f>
        <v>0</v>
      </c>
      <c r="G388" s="3">
        <f>CONTROLE_DIARIO!G389</f>
        <v>0</v>
      </c>
      <c r="H388" s="3">
        <f>CONTROLE_DIARIO!H389</f>
        <v>0</v>
      </c>
      <c r="I388" s="3">
        <f>CONTROLE_DIARIO!I389</f>
        <v>0</v>
      </c>
      <c r="J388" s="3" t="str">
        <f>CONTROLE_DIARIO!J389</f>
        <v/>
      </c>
      <c r="K388" s="3" t="str">
        <f>CONTROLE_DIARIO!K389</f>
        <v/>
      </c>
      <c r="L388" s="51">
        <f>CONTROLE_DIARIO!L389</f>
        <v>0</v>
      </c>
      <c r="M388" s="51">
        <f>CONTROLE_DIARIO!M389</f>
        <v>0</v>
      </c>
      <c r="N388" s="3">
        <f>CONTROLE_DIARIO!N389</f>
        <v>0</v>
      </c>
      <c r="O388" s="3" t="str">
        <f>CONTROLE_DIARIO!O389</f>
        <v/>
      </c>
      <c r="P388" s="51" t="str">
        <f>CONTROLE_DIARIO!P389</f>
        <v/>
      </c>
      <c r="Q388" s="6">
        <f t="shared" si="40"/>
        <v>0</v>
      </c>
      <c r="R388" s="54" t="str">
        <f t="shared" si="41"/>
        <v>OK</v>
      </c>
      <c r="S388" s="3" t="str">
        <f t="shared" si="42"/>
        <v>jan/yy</v>
      </c>
      <c r="T388" s="3">
        <f t="shared" si="43"/>
        <v>1</v>
      </c>
      <c r="U388" s="3">
        <f t="shared" si="44"/>
        <v>1900</v>
      </c>
      <c r="V388" s="6">
        <f t="shared" si="45"/>
        <v>0</v>
      </c>
      <c r="W388" s="3" t="str">
        <f t="shared" si="46"/>
        <v>CRÍTICO</v>
      </c>
    </row>
    <row r="389" spans="1:23" x14ac:dyDescent="0.25">
      <c r="A389" s="2">
        <f>CONTROLE_DIARIO!A390</f>
        <v>0</v>
      </c>
      <c r="B389" s="51">
        <f>CONTROLE_DIARIO!B390</f>
        <v>0</v>
      </c>
      <c r="C389" s="3">
        <f>CONTROLE_DIARIO!C390</f>
        <v>0</v>
      </c>
      <c r="D389" s="3">
        <f>CONTROLE_DIARIO!D390</f>
        <v>0</v>
      </c>
      <c r="E389" s="3">
        <f>CONTROLE_DIARIO!E390</f>
        <v>0</v>
      </c>
      <c r="F389" s="3">
        <f>CONTROLE_DIARIO!F390</f>
        <v>0</v>
      </c>
      <c r="G389" s="3">
        <f>CONTROLE_DIARIO!G390</f>
        <v>0</v>
      </c>
      <c r="H389" s="3">
        <f>CONTROLE_DIARIO!H390</f>
        <v>0</v>
      </c>
      <c r="I389" s="3">
        <f>CONTROLE_DIARIO!I390</f>
        <v>0</v>
      </c>
      <c r="J389" s="3" t="str">
        <f>CONTROLE_DIARIO!J390</f>
        <v/>
      </c>
      <c r="K389" s="3" t="str">
        <f>CONTROLE_DIARIO!K390</f>
        <v/>
      </c>
      <c r="L389" s="51">
        <f>CONTROLE_DIARIO!L390</f>
        <v>0</v>
      </c>
      <c r="M389" s="51">
        <f>CONTROLE_DIARIO!M390</f>
        <v>0</v>
      </c>
      <c r="N389" s="3">
        <f>CONTROLE_DIARIO!N390</f>
        <v>0</v>
      </c>
      <c r="O389" s="3" t="str">
        <f>CONTROLE_DIARIO!O390</f>
        <v/>
      </c>
      <c r="P389" s="51" t="str">
        <f>CONTROLE_DIARIO!P390</f>
        <v/>
      </c>
      <c r="Q389" s="6">
        <f t="shared" si="40"/>
        <v>0</v>
      </c>
      <c r="R389" s="54" t="str">
        <f t="shared" si="41"/>
        <v>OK</v>
      </c>
      <c r="S389" s="3" t="str">
        <f t="shared" si="42"/>
        <v>jan/yy</v>
      </c>
      <c r="T389" s="3">
        <f t="shared" si="43"/>
        <v>1</v>
      </c>
      <c r="U389" s="3">
        <f t="shared" si="44"/>
        <v>1900</v>
      </c>
      <c r="V389" s="6">
        <f t="shared" si="45"/>
        <v>0</v>
      </c>
      <c r="W389" s="3" t="str">
        <f t="shared" si="46"/>
        <v>CRÍTICO</v>
      </c>
    </row>
    <row r="390" spans="1:23" x14ac:dyDescent="0.25">
      <c r="A390" s="2">
        <f>CONTROLE_DIARIO!A391</f>
        <v>0</v>
      </c>
      <c r="B390" s="51">
        <f>CONTROLE_DIARIO!B391</f>
        <v>0</v>
      </c>
      <c r="C390" s="3">
        <f>CONTROLE_DIARIO!C391</f>
        <v>0</v>
      </c>
      <c r="D390" s="3">
        <f>CONTROLE_DIARIO!D391</f>
        <v>0</v>
      </c>
      <c r="E390" s="3">
        <f>CONTROLE_DIARIO!E391</f>
        <v>0</v>
      </c>
      <c r="F390" s="3">
        <f>CONTROLE_DIARIO!F391</f>
        <v>0</v>
      </c>
      <c r="G390" s="3">
        <f>CONTROLE_DIARIO!G391</f>
        <v>0</v>
      </c>
      <c r="H390" s="3">
        <f>CONTROLE_DIARIO!H391</f>
        <v>0</v>
      </c>
      <c r="I390" s="3">
        <f>CONTROLE_DIARIO!I391</f>
        <v>0</v>
      </c>
      <c r="J390" s="3" t="str">
        <f>CONTROLE_DIARIO!J391</f>
        <v/>
      </c>
      <c r="K390" s="3" t="str">
        <f>CONTROLE_DIARIO!K391</f>
        <v/>
      </c>
      <c r="L390" s="51">
        <f>CONTROLE_DIARIO!L391</f>
        <v>0</v>
      </c>
      <c r="M390" s="51">
        <f>CONTROLE_DIARIO!M391</f>
        <v>0</v>
      </c>
      <c r="N390" s="3">
        <f>CONTROLE_DIARIO!N391</f>
        <v>0</v>
      </c>
      <c r="O390" s="3" t="str">
        <f>CONTROLE_DIARIO!O391</f>
        <v/>
      </c>
      <c r="P390" s="51" t="str">
        <f>CONTROLE_DIARIO!P391</f>
        <v/>
      </c>
      <c r="Q390" s="6">
        <f t="shared" ref="Q390:Q453" si="47">IF(C390="","",(IF(F390="SIM",0.3,0)+IF(J390="SIM",0.4,0)+IF(I390="SIM",0.3,0)))</f>
        <v>0</v>
      </c>
      <c r="R390" s="54" t="str">
        <f t="shared" ref="R390:R453" si="48">IF(C390="","",IF(E390="Retorno Total","Retorno Total",IF(E390="Cancelado","Manifesto Cancelado",IF(AND(F390="NÃO",G390="NÃO",H390="NÃO"),"FORA APP",IF(F390="NÃO","Não conferido",IF(I390="NÃO","Não baixado",IF(AND(G390="NÃO",H390="NÃO"),"Sem foto e assinatura",IF(G390="NÃO","Sem foto",IF(H390="NÃO","Sem assinatura","OK")))))))))</f>
        <v>OK</v>
      </c>
      <c r="S390" s="3" t="str">
        <f t="shared" ref="S390:S453" si="49">IF(A390="","",TEXT(A390,"mmm/yy"))</f>
        <v>jan/yy</v>
      </c>
      <c r="T390" s="3">
        <f t="shared" ref="T390:T453" si="50">IF(A390="","",WEEKNUM(A390,2))</f>
        <v>1</v>
      </c>
      <c r="U390" s="3">
        <f t="shared" ref="U390:U453" si="51">IF(A390="","",YEAR(A390))</f>
        <v>1900</v>
      </c>
      <c r="V390" s="6">
        <f t="shared" ref="V390:V453" si="52">IF(C390="","",Q390)</f>
        <v>0</v>
      </c>
      <c r="W390" s="3" t="str">
        <f t="shared" ref="W390:W453" si="53">IF(C390="","",IF(Q390&lt;0.85,"CRÍTICO",IF(Q390&lt;0.95,"ATENÇÃO","OK")))</f>
        <v>CRÍTICO</v>
      </c>
    </row>
    <row r="391" spans="1:23" x14ac:dyDescent="0.25">
      <c r="A391" s="2">
        <f>CONTROLE_DIARIO!A392</f>
        <v>0</v>
      </c>
      <c r="B391" s="51">
        <f>CONTROLE_DIARIO!B392</f>
        <v>0</v>
      </c>
      <c r="C391" s="3">
        <f>CONTROLE_DIARIO!C392</f>
        <v>0</v>
      </c>
      <c r="D391" s="3">
        <f>CONTROLE_DIARIO!D392</f>
        <v>0</v>
      </c>
      <c r="E391" s="3">
        <f>CONTROLE_DIARIO!E392</f>
        <v>0</v>
      </c>
      <c r="F391" s="3">
        <f>CONTROLE_DIARIO!F392</f>
        <v>0</v>
      </c>
      <c r="G391" s="3">
        <f>CONTROLE_DIARIO!G392</f>
        <v>0</v>
      </c>
      <c r="H391" s="3">
        <f>CONTROLE_DIARIO!H392</f>
        <v>0</v>
      </c>
      <c r="I391" s="3">
        <f>CONTROLE_DIARIO!I392</f>
        <v>0</v>
      </c>
      <c r="J391" s="3" t="str">
        <f>CONTROLE_DIARIO!J392</f>
        <v/>
      </c>
      <c r="K391" s="3" t="str">
        <f>CONTROLE_DIARIO!K392</f>
        <v/>
      </c>
      <c r="L391" s="51">
        <f>CONTROLE_DIARIO!L392</f>
        <v>0</v>
      </c>
      <c r="M391" s="51">
        <f>CONTROLE_DIARIO!M392</f>
        <v>0</v>
      </c>
      <c r="N391" s="3">
        <f>CONTROLE_DIARIO!N392</f>
        <v>0</v>
      </c>
      <c r="O391" s="3" t="str">
        <f>CONTROLE_DIARIO!O392</f>
        <v/>
      </c>
      <c r="P391" s="51" t="str">
        <f>CONTROLE_DIARIO!P392</f>
        <v/>
      </c>
      <c r="Q391" s="6">
        <f t="shared" si="47"/>
        <v>0</v>
      </c>
      <c r="R391" s="54" t="str">
        <f t="shared" si="48"/>
        <v>OK</v>
      </c>
      <c r="S391" s="3" t="str">
        <f t="shared" si="49"/>
        <v>jan/yy</v>
      </c>
      <c r="T391" s="3">
        <f t="shared" si="50"/>
        <v>1</v>
      </c>
      <c r="U391" s="3">
        <f t="shared" si="51"/>
        <v>1900</v>
      </c>
      <c r="V391" s="6">
        <f t="shared" si="52"/>
        <v>0</v>
      </c>
      <c r="W391" s="3" t="str">
        <f t="shared" si="53"/>
        <v>CRÍTICO</v>
      </c>
    </row>
    <row r="392" spans="1:23" x14ac:dyDescent="0.25">
      <c r="A392" s="2">
        <f>CONTROLE_DIARIO!A393</f>
        <v>0</v>
      </c>
      <c r="B392" s="51">
        <f>CONTROLE_DIARIO!B393</f>
        <v>0</v>
      </c>
      <c r="C392" s="3">
        <f>CONTROLE_DIARIO!C393</f>
        <v>0</v>
      </c>
      <c r="D392" s="3">
        <f>CONTROLE_DIARIO!D393</f>
        <v>0</v>
      </c>
      <c r="E392" s="3">
        <f>CONTROLE_DIARIO!E393</f>
        <v>0</v>
      </c>
      <c r="F392" s="3">
        <f>CONTROLE_DIARIO!F393</f>
        <v>0</v>
      </c>
      <c r="G392" s="3">
        <f>CONTROLE_DIARIO!G393</f>
        <v>0</v>
      </c>
      <c r="H392" s="3">
        <f>CONTROLE_DIARIO!H393</f>
        <v>0</v>
      </c>
      <c r="I392" s="3">
        <f>CONTROLE_DIARIO!I393</f>
        <v>0</v>
      </c>
      <c r="J392" s="3" t="str">
        <f>CONTROLE_DIARIO!J393</f>
        <v/>
      </c>
      <c r="K392" s="3" t="str">
        <f>CONTROLE_DIARIO!K393</f>
        <v/>
      </c>
      <c r="L392" s="51">
        <f>CONTROLE_DIARIO!L393</f>
        <v>0</v>
      </c>
      <c r="M392" s="51">
        <f>CONTROLE_DIARIO!M393</f>
        <v>0</v>
      </c>
      <c r="N392" s="3">
        <f>CONTROLE_DIARIO!N393</f>
        <v>0</v>
      </c>
      <c r="O392" s="3" t="str">
        <f>CONTROLE_DIARIO!O393</f>
        <v/>
      </c>
      <c r="P392" s="51" t="str">
        <f>CONTROLE_DIARIO!P393</f>
        <v/>
      </c>
      <c r="Q392" s="6">
        <f t="shared" si="47"/>
        <v>0</v>
      </c>
      <c r="R392" s="54" t="str">
        <f t="shared" si="48"/>
        <v>OK</v>
      </c>
      <c r="S392" s="3" t="str">
        <f t="shared" si="49"/>
        <v>jan/yy</v>
      </c>
      <c r="T392" s="3">
        <f t="shared" si="50"/>
        <v>1</v>
      </c>
      <c r="U392" s="3">
        <f t="shared" si="51"/>
        <v>1900</v>
      </c>
      <c r="V392" s="6">
        <f t="shared" si="52"/>
        <v>0</v>
      </c>
      <c r="W392" s="3" t="str">
        <f t="shared" si="53"/>
        <v>CRÍTICO</v>
      </c>
    </row>
    <row r="393" spans="1:23" x14ac:dyDescent="0.25">
      <c r="A393" s="2">
        <f>CONTROLE_DIARIO!A394</f>
        <v>0</v>
      </c>
      <c r="B393" s="51">
        <f>CONTROLE_DIARIO!B394</f>
        <v>0</v>
      </c>
      <c r="C393" s="3">
        <f>CONTROLE_DIARIO!C394</f>
        <v>0</v>
      </c>
      <c r="D393" s="3">
        <f>CONTROLE_DIARIO!D394</f>
        <v>0</v>
      </c>
      <c r="E393" s="3">
        <f>CONTROLE_DIARIO!E394</f>
        <v>0</v>
      </c>
      <c r="F393" s="3">
        <f>CONTROLE_DIARIO!F394</f>
        <v>0</v>
      </c>
      <c r="G393" s="3">
        <f>CONTROLE_DIARIO!G394</f>
        <v>0</v>
      </c>
      <c r="H393" s="3">
        <f>CONTROLE_DIARIO!H394</f>
        <v>0</v>
      </c>
      <c r="I393" s="3">
        <f>CONTROLE_DIARIO!I394</f>
        <v>0</v>
      </c>
      <c r="J393" s="3" t="str">
        <f>CONTROLE_DIARIO!J394</f>
        <v/>
      </c>
      <c r="K393" s="3" t="str">
        <f>CONTROLE_DIARIO!K394</f>
        <v/>
      </c>
      <c r="L393" s="51">
        <f>CONTROLE_DIARIO!L394</f>
        <v>0</v>
      </c>
      <c r="M393" s="51">
        <f>CONTROLE_DIARIO!M394</f>
        <v>0</v>
      </c>
      <c r="N393" s="3">
        <f>CONTROLE_DIARIO!N394</f>
        <v>0</v>
      </c>
      <c r="O393" s="3" t="str">
        <f>CONTROLE_DIARIO!O394</f>
        <v/>
      </c>
      <c r="P393" s="51" t="str">
        <f>CONTROLE_DIARIO!P394</f>
        <v/>
      </c>
      <c r="Q393" s="6">
        <f t="shared" si="47"/>
        <v>0</v>
      </c>
      <c r="R393" s="54" t="str">
        <f t="shared" si="48"/>
        <v>OK</v>
      </c>
      <c r="S393" s="3" t="str">
        <f t="shared" si="49"/>
        <v>jan/yy</v>
      </c>
      <c r="T393" s="3">
        <f t="shared" si="50"/>
        <v>1</v>
      </c>
      <c r="U393" s="3">
        <f t="shared" si="51"/>
        <v>1900</v>
      </c>
      <c r="V393" s="6">
        <f t="shared" si="52"/>
        <v>0</v>
      </c>
      <c r="W393" s="3" t="str">
        <f t="shared" si="53"/>
        <v>CRÍTICO</v>
      </c>
    </row>
    <row r="394" spans="1:23" x14ac:dyDescent="0.25">
      <c r="A394" s="2">
        <f>CONTROLE_DIARIO!A395</f>
        <v>0</v>
      </c>
      <c r="B394" s="51">
        <f>CONTROLE_DIARIO!B395</f>
        <v>0</v>
      </c>
      <c r="C394" s="3">
        <f>CONTROLE_DIARIO!C395</f>
        <v>0</v>
      </c>
      <c r="D394" s="3">
        <f>CONTROLE_DIARIO!D395</f>
        <v>0</v>
      </c>
      <c r="E394" s="3">
        <f>CONTROLE_DIARIO!E395</f>
        <v>0</v>
      </c>
      <c r="F394" s="3">
        <f>CONTROLE_DIARIO!F395</f>
        <v>0</v>
      </c>
      <c r="G394" s="3">
        <f>CONTROLE_DIARIO!G395</f>
        <v>0</v>
      </c>
      <c r="H394" s="3">
        <f>CONTROLE_DIARIO!H395</f>
        <v>0</v>
      </c>
      <c r="I394" s="3">
        <f>CONTROLE_DIARIO!I395</f>
        <v>0</v>
      </c>
      <c r="J394" s="3" t="str">
        <f>CONTROLE_DIARIO!J395</f>
        <v/>
      </c>
      <c r="K394" s="3" t="str">
        <f>CONTROLE_DIARIO!K395</f>
        <v/>
      </c>
      <c r="L394" s="51">
        <f>CONTROLE_DIARIO!L395</f>
        <v>0</v>
      </c>
      <c r="M394" s="51">
        <f>CONTROLE_DIARIO!M395</f>
        <v>0</v>
      </c>
      <c r="N394" s="3">
        <f>CONTROLE_DIARIO!N395</f>
        <v>0</v>
      </c>
      <c r="O394" s="3" t="str">
        <f>CONTROLE_DIARIO!O395</f>
        <v/>
      </c>
      <c r="P394" s="51" t="str">
        <f>CONTROLE_DIARIO!P395</f>
        <v/>
      </c>
      <c r="Q394" s="6">
        <f t="shared" si="47"/>
        <v>0</v>
      </c>
      <c r="R394" s="54" t="str">
        <f t="shared" si="48"/>
        <v>OK</v>
      </c>
      <c r="S394" s="3" t="str">
        <f t="shared" si="49"/>
        <v>jan/yy</v>
      </c>
      <c r="T394" s="3">
        <f t="shared" si="50"/>
        <v>1</v>
      </c>
      <c r="U394" s="3">
        <f t="shared" si="51"/>
        <v>1900</v>
      </c>
      <c r="V394" s="6">
        <f t="shared" si="52"/>
        <v>0</v>
      </c>
      <c r="W394" s="3" t="str">
        <f t="shared" si="53"/>
        <v>CRÍTICO</v>
      </c>
    </row>
    <row r="395" spans="1:23" x14ac:dyDescent="0.25">
      <c r="A395" s="2">
        <f>CONTROLE_DIARIO!A396</f>
        <v>0</v>
      </c>
      <c r="B395" s="51">
        <f>CONTROLE_DIARIO!B396</f>
        <v>0</v>
      </c>
      <c r="C395" s="3">
        <f>CONTROLE_DIARIO!C396</f>
        <v>0</v>
      </c>
      <c r="D395" s="3">
        <f>CONTROLE_DIARIO!D396</f>
        <v>0</v>
      </c>
      <c r="E395" s="3">
        <f>CONTROLE_DIARIO!E396</f>
        <v>0</v>
      </c>
      <c r="F395" s="3">
        <f>CONTROLE_DIARIO!F396</f>
        <v>0</v>
      </c>
      <c r="G395" s="3">
        <f>CONTROLE_DIARIO!G396</f>
        <v>0</v>
      </c>
      <c r="H395" s="3">
        <f>CONTROLE_DIARIO!H396</f>
        <v>0</v>
      </c>
      <c r="I395" s="3">
        <f>CONTROLE_DIARIO!I396</f>
        <v>0</v>
      </c>
      <c r="J395" s="3" t="str">
        <f>CONTROLE_DIARIO!J396</f>
        <v/>
      </c>
      <c r="K395" s="3" t="str">
        <f>CONTROLE_DIARIO!K396</f>
        <v/>
      </c>
      <c r="L395" s="51">
        <f>CONTROLE_DIARIO!L396</f>
        <v>0</v>
      </c>
      <c r="M395" s="51">
        <f>CONTROLE_DIARIO!M396</f>
        <v>0</v>
      </c>
      <c r="N395" s="3">
        <f>CONTROLE_DIARIO!N396</f>
        <v>0</v>
      </c>
      <c r="O395" s="3" t="str">
        <f>CONTROLE_DIARIO!O396</f>
        <v/>
      </c>
      <c r="P395" s="51" t="str">
        <f>CONTROLE_DIARIO!P396</f>
        <v/>
      </c>
      <c r="Q395" s="6">
        <f t="shared" si="47"/>
        <v>0</v>
      </c>
      <c r="R395" s="54" t="str">
        <f t="shared" si="48"/>
        <v>OK</v>
      </c>
      <c r="S395" s="3" t="str">
        <f t="shared" si="49"/>
        <v>jan/yy</v>
      </c>
      <c r="T395" s="3">
        <f t="shared" si="50"/>
        <v>1</v>
      </c>
      <c r="U395" s="3">
        <f t="shared" si="51"/>
        <v>1900</v>
      </c>
      <c r="V395" s="6">
        <f t="shared" si="52"/>
        <v>0</v>
      </c>
      <c r="W395" s="3" t="str">
        <f t="shared" si="53"/>
        <v>CRÍTICO</v>
      </c>
    </row>
    <row r="396" spans="1:23" x14ac:dyDescent="0.25">
      <c r="A396" s="2">
        <f>CONTROLE_DIARIO!A397</f>
        <v>0</v>
      </c>
      <c r="B396" s="51">
        <f>CONTROLE_DIARIO!B397</f>
        <v>0</v>
      </c>
      <c r="C396" s="3">
        <f>CONTROLE_DIARIO!C397</f>
        <v>0</v>
      </c>
      <c r="D396" s="3">
        <f>CONTROLE_DIARIO!D397</f>
        <v>0</v>
      </c>
      <c r="E396" s="3">
        <f>CONTROLE_DIARIO!E397</f>
        <v>0</v>
      </c>
      <c r="F396" s="3">
        <f>CONTROLE_DIARIO!F397</f>
        <v>0</v>
      </c>
      <c r="G396" s="3">
        <f>CONTROLE_DIARIO!G397</f>
        <v>0</v>
      </c>
      <c r="H396" s="3">
        <f>CONTROLE_DIARIO!H397</f>
        <v>0</v>
      </c>
      <c r="I396" s="3">
        <f>CONTROLE_DIARIO!I397</f>
        <v>0</v>
      </c>
      <c r="J396" s="3" t="str">
        <f>CONTROLE_DIARIO!J397</f>
        <v/>
      </c>
      <c r="K396" s="3" t="str">
        <f>CONTROLE_DIARIO!K397</f>
        <v/>
      </c>
      <c r="L396" s="51">
        <f>CONTROLE_DIARIO!L397</f>
        <v>0</v>
      </c>
      <c r="M396" s="51">
        <f>CONTROLE_DIARIO!M397</f>
        <v>0</v>
      </c>
      <c r="N396" s="3">
        <f>CONTROLE_DIARIO!N397</f>
        <v>0</v>
      </c>
      <c r="O396" s="3" t="str">
        <f>CONTROLE_DIARIO!O397</f>
        <v/>
      </c>
      <c r="P396" s="51" t="str">
        <f>CONTROLE_DIARIO!P397</f>
        <v/>
      </c>
      <c r="Q396" s="6">
        <f t="shared" si="47"/>
        <v>0</v>
      </c>
      <c r="R396" s="54" t="str">
        <f t="shared" si="48"/>
        <v>OK</v>
      </c>
      <c r="S396" s="3" t="str">
        <f t="shared" si="49"/>
        <v>jan/yy</v>
      </c>
      <c r="T396" s="3">
        <f t="shared" si="50"/>
        <v>1</v>
      </c>
      <c r="U396" s="3">
        <f t="shared" si="51"/>
        <v>1900</v>
      </c>
      <c r="V396" s="6">
        <f t="shared" si="52"/>
        <v>0</v>
      </c>
      <c r="W396" s="3" t="str">
        <f t="shared" si="53"/>
        <v>CRÍTICO</v>
      </c>
    </row>
    <row r="397" spans="1:23" x14ac:dyDescent="0.25">
      <c r="A397" s="2">
        <f>CONTROLE_DIARIO!A398</f>
        <v>0</v>
      </c>
      <c r="B397" s="51">
        <f>CONTROLE_DIARIO!B398</f>
        <v>0</v>
      </c>
      <c r="C397" s="3">
        <f>CONTROLE_DIARIO!C398</f>
        <v>0</v>
      </c>
      <c r="D397" s="3">
        <f>CONTROLE_DIARIO!D398</f>
        <v>0</v>
      </c>
      <c r="E397" s="3">
        <f>CONTROLE_DIARIO!E398</f>
        <v>0</v>
      </c>
      <c r="F397" s="3">
        <f>CONTROLE_DIARIO!F398</f>
        <v>0</v>
      </c>
      <c r="G397" s="3">
        <f>CONTROLE_DIARIO!G398</f>
        <v>0</v>
      </c>
      <c r="H397" s="3">
        <f>CONTROLE_DIARIO!H398</f>
        <v>0</v>
      </c>
      <c r="I397" s="3">
        <f>CONTROLE_DIARIO!I398</f>
        <v>0</v>
      </c>
      <c r="J397" s="3" t="str">
        <f>CONTROLE_DIARIO!J398</f>
        <v/>
      </c>
      <c r="K397" s="3" t="str">
        <f>CONTROLE_DIARIO!K398</f>
        <v/>
      </c>
      <c r="L397" s="51">
        <f>CONTROLE_DIARIO!L398</f>
        <v>0</v>
      </c>
      <c r="M397" s="51">
        <f>CONTROLE_DIARIO!M398</f>
        <v>0</v>
      </c>
      <c r="N397" s="3">
        <f>CONTROLE_DIARIO!N398</f>
        <v>0</v>
      </c>
      <c r="O397" s="3" t="str">
        <f>CONTROLE_DIARIO!O398</f>
        <v/>
      </c>
      <c r="P397" s="51" t="str">
        <f>CONTROLE_DIARIO!P398</f>
        <v/>
      </c>
      <c r="Q397" s="6">
        <f t="shared" si="47"/>
        <v>0</v>
      </c>
      <c r="R397" s="54" t="str">
        <f t="shared" si="48"/>
        <v>OK</v>
      </c>
      <c r="S397" s="3" t="str">
        <f t="shared" si="49"/>
        <v>jan/yy</v>
      </c>
      <c r="T397" s="3">
        <f t="shared" si="50"/>
        <v>1</v>
      </c>
      <c r="U397" s="3">
        <f t="shared" si="51"/>
        <v>1900</v>
      </c>
      <c r="V397" s="6">
        <f t="shared" si="52"/>
        <v>0</v>
      </c>
      <c r="W397" s="3" t="str">
        <f t="shared" si="53"/>
        <v>CRÍTICO</v>
      </c>
    </row>
    <row r="398" spans="1:23" x14ac:dyDescent="0.25">
      <c r="A398" s="2">
        <f>CONTROLE_DIARIO!A399</f>
        <v>0</v>
      </c>
      <c r="B398" s="51">
        <f>CONTROLE_DIARIO!B399</f>
        <v>0</v>
      </c>
      <c r="C398" s="3">
        <f>CONTROLE_DIARIO!C399</f>
        <v>0</v>
      </c>
      <c r="D398" s="3">
        <f>CONTROLE_DIARIO!D399</f>
        <v>0</v>
      </c>
      <c r="E398" s="3">
        <f>CONTROLE_DIARIO!E399</f>
        <v>0</v>
      </c>
      <c r="F398" s="3">
        <f>CONTROLE_DIARIO!F399</f>
        <v>0</v>
      </c>
      <c r="G398" s="3">
        <f>CONTROLE_DIARIO!G399</f>
        <v>0</v>
      </c>
      <c r="H398" s="3">
        <f>CONTROLE_DIARIO!H399</f>
        <v>0</v>
      </c>
      <c r="I398" s="3">
        <f>CONTROLE_DIARIO!I399</f>
        <v>0</v>
      </c>
      <c r="J398" s="3" t="str">
        <f>CONTROLE_DIARIO!J399</f>
        <v/>
      </c>
      <c r="K398" s="3" t="str">
        <f>CONTROLE_DIARIO!K399</f>
        <v/>
      </c>
      <c r="L398" s="51">
        <f>CONTROLE_DIARIO!L399</f>
        <v>0</v>
      </c>
      <c r="M398" s="51">
        <f>CONTROLE_DIARIO!M399</f>
        <v>0</v>
      </c>
      <c r="N398" s="3">
        <f>CONTROLE_DIARIO!N399</f>
        <v>0</v>
      </c>
      <c r="O398" s="3" t="str">
        <f>CONTROLE_DIARIO!O399</f>
        <v/>
      </c>
      <c r="P398" s="51" t="str">
        <f>CONTROLE_DIARIO!P399</f>
        <v/>
      </c>
      <c r="Q398" s="6">
        <f t="shared" si="47"/>
        <v>0</v>
      </c>
      <c r="R398" s="54" t="str">
        <f t="shared" si="48"/>
        <v>OK</v>
      </c>
      <c r="S398" s="3" t="str">
        <f t="shared" si="49"/>
        <v>jan/yy</v>
      </c>
      <c r="T398" s="3">
        <f t="shared" si="50"/>
        <v>1</v>
      </c>
      <c r="U398" s="3">
        <f t="shared" si="51"/>
        <v>1900</v>
      </c>
      <c r="V398" s="6">
        <f t="shared" si="52"/>
        <v>0</v>
      </c>
      <c r="W398" s="3" t="str">
        <f t="shared" si="53"/>
        <v>CRÍTICO</v>
      </c>
    </row>
    <row r="399" spans="1:23" x14ac:dyDescent="0.25">
      <c r="A399" s="2">
        <f>CONTROLE_DIARIO!A400</f>
        <v>0</v>
      </c>
      <c r="B399" s="51">
        <f>CONTROLE_DIARIO!B400</f>
        <v>0</v>
      </c>
      <c r="C399" s="3">
        <f>CONTROLE_DIARIO!C400</f>
        <v>0</v>
      </c>
      <c r="D399" s="3">
        <f>CONTROLE_DIARIO!D400</f>
        <v>0</v>
      </c>
      <c r="E399" s="3">
        <f>CONTROLE_DIARIO!E400</f>
        <v>0</v>
      </c>
      <c r="F399" s="3">
        <f>CONTROLE_DIARIO!F400</f>
        <v>0</v>
      </c>
      <c r="G399" s="3">
        <f>CONTROLE_DIARIO!G400</f>
        <v>0</v>
      </c>
      <c r="H399" s="3">
        <f>CONTROLE_DIARIO!H400</f>
        <v>0</v>
      </c>
      <c r="I399" s="3">
        <f>CONTROLE_DIARIO!I400</f>
        <v>0</v>
      </c>
      <c r="J399" s="3" t="str">
        <f>CONTROLE_DIARIO!J400</f>
        <v/>
      </c>
      <c r="K399" s="3" t="str">
        <f>CONTROLE_DIARIO!K400</f>
        <v/>
      </c>
      <c r="L399" s="51">
        <f>CONTROLE_DIARIO!L400</f>
        <v>0</v>
      </c>
      <c r="M399" s="51">
        <f>CONTROLE_DIARIO!M400</f>
        <v>0</v>
      </c>
      <c r="N399" s="3">
        <f>CONTROLE_DIARIO!N400</f>
        <v>0</v>
      </c>
      <c r="O399" s="3" t="str">
        <f>CONTROLE_DIARIO!O400</f>
        <v/>
      </c>
      <c r="P399" s="51" t="str">
        <f>CONTROLE_DIARIO!P400</f>
        <v/>
      </c>
      <c r="Q399" s="6">
        <f t="shared" si="47"/>
        <v>0</v>
      </c>
      <c r="R399" s="54" t="str">
        <f t="shared" si="48"/>
        <v>OK</v>
      </c>
      <c r="S399" s="3" t="str">
        <f t="shared" si="49"/>
        <v>jan/yy</v>
      </c>
      <c r="T399" s="3">
        <f t="shared" si="50"/>
        <v>1</v>
      </c>
      <c r="U399" s="3">
        <f t="shared" si="51"/>
        <v>1900</v>
      </c>
      <c r="V399" s="6">
        <f t="shared" si="52"/>
        <v>0</v>
      </c>
      <c r="W399" s="3" t="str">
        <f t="shared" si="53"/>
        <v>CRÍTICO</v>
      </c>
    </row>
    <row r="400" spans="1:23" x14ac:dyDescent="0.25">
      <c r="A400" s="2">
        <f>CONTROLE_DIARIO!A401</f>
        <v>0</v>
      </c>
      <c r="B400" s="51">
        <f>CONTROLE_DIARIO!B401</f>
        <v>0</v>
      </c>
      <c r="C400" s="3">
        <f>CONTROLE_DIARIO!C401</f>
        <v>0</v>
      </c>
      <c r="D400" s="3">
        <f>CONTROLE_DIARIO!D401</f>
        <v>0</v>
      </c>
      <c r="E400" s="3">
        <f>CONTROLE_DIARIO!E401</f>
        <v>0</v>
      </c>
      <c r="F400" s="3">
        <f>CONTROLE_DIARIO!F401</f>
        <v>0</v>
      </c>
      <c r="G400" s="3">
        <f>CONTROLE_DIARIO!G401</f>
        <v>0</v>
      </c>
      <c r="H400" s="3">
        <f>CONTROLE_DIARIO!H401</f>
        <v>0</v>
      </c>
      <c r="I400" s="3">
        <f>CONTROLE_DIARIO!I401</f>
        <v>0</v>
      </c>
      <c r="J400" s="3" t="str">
        <f>CONTROLE_DIARIO!J401</f>
        <v/>
      </c>
      <c r="K400" s="3" t="str">
        <f>CONTROLE_DIARIO!K401</f>
        <v/>
      </c>
      <c r="L400" s="51">
        <f>CONTROLE_DIARIO!L401</f>
        <v>0</v>
      </c>
      <c r="M400" s="51">
        <f>CONTROLE_DIARIO!M401</f>
        <v>0</v>
      </c>
      <c r="N400" s="3">
        <f>CONTROLE_DIARIO!N401</f>
        <v>0</v>
      </c>
      <c r="O400" s="3" t="str">
        <f>CONTROLE_DIARIO!O401</f>
        <v/>
      </c>
      <c r="P400" s="51" t="str">
        <f>CONTROLE_DIARIO!P401</f>
        <v/>
      </c>
      <c r="Q400" s="6">
        <f t="shared" si="47"/>
        <v>0</v>
      </c>
      <c r="R400" s="54" t="str">
        <f t="shared" si="48"/>
        <v>OK</v>
      </c>
      <c r="S400" s="3" t="str">
        <f t="shared" si="49"/>
        <v>jan/yy</v>
      </c>
      <c r="T400" s="3">
        <f t="shared" si="50"/>
        <v>1</v>
      </c>
      <c r="U400" s="3">
        <f t="shared" si="51"/>
        <v>1900</v>
      </c>
      <c r="V400" s="6">
        <f t="shared" si="52"/>
        <v>0</v>
      </c>
      <c r="W400" s="3" t="str">
        <f t="shared" si="53"/>
        <v>CRÍTICO</v>
      </c>
    </row>
    <row r="401" spans="1:23" x14ac:dyDescent="0.25">
      <c r="A401" s="2">
        <f>CONTROLE_DIARIO!A402</f>
        <v>0</v>
      </c>
      <c r="B401" s="51">
        <f>CONTROLE_DIARIO!B402</f>
        <v>0</v>
      </c>
      <c r="C401" s="3">
        <f>CONTROLE_DIARIO!C402</f>
        <v>0</v>
      </c>
      <c r="D401" s="3">
        <f>CONTROLE_DIARIO!D402</f>
        <v>0</v>
      </c>
      <c r="E401" s="3">
        <f>CONTROLE_DIARIO!E402</f>
        <v>0</v>
      </c>
      <c r="F401" s="3">
        <f>CONTROLE_DIARIO!F402</f>
        <v>0</v>
      </c>
      <c r="G401" s="3">
        <f>CONTROLE_DIARIO!G402</f>
        <v>0</v>
      </c>
      <c r="H401" s="3">
        <f>CONTROLE_DIARIO!H402</f>
        <v>0</v>
      </c>
      <c r="I401" s="3">
        <f>CONTROLE_DIARIO!I402</f>
        <v>0</v>
      </c>
      <c r="J401" s="3" t="str">
        <f>CONTROLE_DIARIO!J402</f>
        <v/>
      </c>
      <c r="K401" s="3" t="str">
        <f>CONTROLE_DIARIO!K402</f>
        <v/>
      </c>
      <c r="L401" s="51">
        <f>CONTROLE_DIARIO!L402</f>
        <v>0</v>
      </c>
      <c r="M401" s="51">
        <f>CONTROLE_DIARIO!M402</f>
        <v>0</v>
      </c>
      <c r="N401" s="3">
        <f>CONTROLE_DIARIO!N402</f>
        <v>0</v>
      </c>
      <c r="O401" s="3" t="str">
        <f>CONTROLE_DIARIO!O402</f>
        <v/>
      </c>
      <c r="P401" s="51" t="str">
        <f>CONTROLE_DIARIO!P402</f>
        <v/>
      </c>
      <c r="Q401" s="6">
        <f t="shared" si="47"/>
        <v>0</v>
      </c>
      <c r="R401" s="54" t="str">
        <f t="shared" si="48"/>
        <v>OK</v>
      </c>
      <c r="S401" s="3" t="str">
        <f t="shared" si="49"/>
        <v>jan/yy</v>
      </c>
      <c r="T401" s="3">
        <f t="shared" si="50"/>
        <v>1</v>
      </c>
      <c r="U401" s="3">
        <f t="shared" si="51"/>
        <v>1900</v>
      </c>
      <c r="V401" s="6">
        <f t="shared" si="52"/>
        <v>0</v>
      </c>
      <c r="W401" s="3" t="str">
        <f t="shared" si="53"/>
        <v>CRÍTICO</v>
      </c>
    </row>
    <row r="402" spans="1:23" x14ac:dyDescent="0.25">
      <c r="A402" s="2">
        <f>CONTROLE_DIARIO!A403</f>
        <v>0</v>
      </c>
      <c r="B402" s="51">
        <f>CONTROLE_DIARIO!B403</f>
        <v>0</v>
      </c>
      <c r="C402" s="3">
        <f>CONTROLE_DIARIO!C403</f>
        <v>0</v>
      </c>
      <c r="D402" s="3">
        <f>CONTROLE_DIARIO!D403</f>
        <v>0</v>
      </c>
      <c r="E402" s="3">
        <f>CONTROLE_DIARIO!E403</f>
        <v>0</v>
      </c>
      <c r="F402" s="3">
        <f>CONTROLE_DIARIO!F403</f>
        <v>0</v>
      </c>
      <c r="G402" s="3">
        <f>CONTROLE_DIARIO!G403</f>
        <v>0</v>
      </c>
      <c r="H402" s="3">
        <f>CONTROLE_DIARIO!H403</f>
        <v>0</v>
      </c>
      <c r="I402" s="3">
        <f>CONTROLE_DIARIO!I403</f>
        <v>0</v>
      </c>
      <c r="J402" s="3" t="str">
        <f>CONTROLE_DIARIO!J403</f>
        <v/>
      </c>
      <c r="K402" s="3" t="str">
        <f>CONTROLE_DIARIO!K403</f>
        <v/>
      </c>
      <c r="L402" s="51">
        <f>CONTROLE_DIARIO!L403</f>
        <v>0</v>
      </c>
      <c r="M402" s="51">
        <f>CONTROLE_DIARIO!M403</f>
        <v>0</v>
      </c>
      <c r="N402" s="3">
        <f>CONTROLE_DIARIO!N403</f>
        <v>0</v>
      </c>
      <c r="O402" s="3" t="str">
        <f>CONTROLE_DIARIO!O403</f>
        <v/>
      </c>
      <c r="P402" s="51" t="str">
        <f>CONTROLE_DIARIO!P403</f>
        <v/>
      </c>
      <c r="Q402" s="6">
        <f t="shared" si="47"/>
        <v>0</v>
      </c>
      <c r="R402" s="54" t="str">
        <f t="shared" si="48"/>
        <v>OK</v>
      </c>
      <c r="S402" s="3" t="str">
        <f t="shared" si="49"/>
        <v>jan/yy</v>
      </c>
      <c r="T402" s="3">
        <f t="shared" si="50"/>
        <v>1</v>
      </c>
      <c r="U402" s="3">
        <f t="shared" si="51"/>
        <v>1900</v>
      </c>
      <c r="V402" s="6">
        <f t="shared" si="52"/>
        <v>0</v>
      </c>
      <c r="W402" s="3" t="str">
        <f t="shared" si="53"/>
        <v>CRÍTICO</v>
      </c>
    </row>
    <row r="403" spans="1:23" x14ac:dyDescent="0.25">
      <c r="A403" s="2">
        <f>CONTROLE_DIARIO!A404</f>
        <v>0</v>
      </c>
      <c r="B403" s="51">
        <f>CONTROLE_DIARIO!B404</f>
        <v>0</v>
      </c>
      <c r="C403" s="3">
        <f>CONTROLE_DIARIO!C404</f>
        <v>0</v>
      </c>
      <c r="D403" s="3">
        <f>CONTROLE_DIARIO!D404</f>
        <v>0</v>
      </c>
      <c r="E403" s="3">
        <f>CONTROLE_DIARIO!E404</f>
        <v>0</v>
      </c>
      <c r="F403" s="3">
        <f>CONTROLE_DIARIO!F404</f>
        <v>0</v>
      </c>
      <c r="G403" s="3">
        <f>CONTROLE_DIARIO!G404</f>
        <v>0</v>
      </c>
      <c r="H403" s="3">
        <f>CONTROLE_DIARIO!H404</f>
        <v>0</v>
      </c>
      <c r="I403" s="3">
        <f>CONTROLE_DIARIO!I404</f>
        <v>0</v>
      </c>
      <c r="J403" s="3" t="str">
        <f>CONTROLE_DIARIO!J404</f>
        <v/>
      </c>
      <c r="K403" s="3" t="str">
        <f>CONTROLE_DIARIO!K404</f>
        <v/>
      </c>
      <c r="L403" s="51">
        <f>CONTROLE_DIARIO!L404</f>
        <v>0</v>
      </c>
      <c r="M403" s="51">
        <f>CONTROLE_DIARIO!M404</f>
        <v>0</v>
      </c>
      <c r="N403" s="3">
        <f>CONTROLE_DIARIO!N404</f>
        <v>0</v>
      </c>
      <c r="O403" s="3" t="str">
        <f>CONTROLE_DIARIO!O404</f>
        <v/>
      </c>
      <c r="P403" s="51" t="str">
        <f>CONTROLE_DIARIO!P404</f>
        <v/>
      </c>
      <c r="Q403" s="6">
        <f t="shared" si="47"/>
        <v>0</v>
      </c>
      <c r="R403" s="54" t="str">
        <f t="shared" si="48"/>
        <v>OK</v>
      </c>
      <c r="S403" s="3" t="str">
        <f t="shared" si="49"/>
        <v>jan/yy</v>
      </c>
      <c r="T403" s="3">
        <f t="shared" si="50"/>
        <v>1</v>
      </c>
      <c r="U403" s="3">
        <f t="shared" si="51"/>
        <v>1900</v>
      </c>
      <c r="V403" s="6">
        <f t="shared" si="52"/>
        <v>0</v>
      </c>
      <c r="W403" s="3" t="str">
        <f t="shared" si="53"/>
        <v>CRÍTICO</v>
      </c>
    </row>
    <row r="404" spans="1:23" x14ac:dyDescent="0.25">
      <c r="A404" s="2">
        <f>CONTROLE_DIARIO!A405</f>
        <v>0</v>
      </c>
      <c r="B404" s="51">
        <f>CONTROLE_DIARIO!B405</f>
        <v>0</v>
      </c>
      <c r="C404" s="3">
        <f>CONTROLE_DIARIO!C405</f>
        <v>0</v>
      </c>
      <c r="D404" s="3">
        <f>CONTROLE_DIARIO!D405</f>
        <v>0</v>
      </c>
      <c r="E404" s="3">
        <f>CONTROLE_DIARIO!E405</f>
        <v>0</v>
      </c>
      <c r="F404" s="3">
        <f>CONTROLE_DIARIO!F405</f>
        <v>0</v>
      </c>
      <c r="G404" s="3">
        <f>CONTROLE_DIARIO!G405</f>
        <v>0</v>
      </c>
      <c r="H404" s="3">
        <f>CONTROLE_DIARIO!H405</f>
        <v>0</v>
      </c>
      <c r="I404" s="3">
        <f>CONTROLE_DIARIO!I405</f>
        <v>0</v>
      </c>
      <c r="J404" s="3" t="str">
        <f>CONTROLE_DIARIO!J405</f>
        <v/>
      </c>
      <c r="K404" s="3" t="str">
        <f>CONTROLE_DIARIO!K405</f>
        <v/>
      </c>
      <c r="L404" s="51">
        <f>CONTROLE_DIARIO!L405</f>
        <v>0</v>
      </c>
      <c r="M404" s="51">
        <f>CONTROLE_DIARIO!M405</f>
        <v>0</v>
      </c>
      <c r="N404" s="3">
        <f>CONTROLE_DIARIO!N405</f>
        <v>0</v>
      </c>
      <c r="O404" s="3" t="str">
        <f>CONTROLE_DIARIO!O405</f>
        <v/>
      </c>
      <c r="P404" s="51" t="str">
        <f>CONTROLE_DIARIO!P405</f>
        <v/>
      </c>
      <c r="Q404" s="6">
        <f t="shared" si="47"/>
        <v>0</v>
      </c>
      <c r="R404" s="54" t="str">
        <f t="shared" si="48"/>
        <v>OK</v>
      </c>
      <c r="S404" s="3" t="str">
        <f t="shared" si="49"/>
        <v>jan/yy</v>
      </c>
      <c r="T404" s="3">
        <f t="shared" si="50"/>
        <v>1</v>
      </c>
      <c r="U404" s="3">
        <f t="shared" si="51"/>
        <v>1900</v>
      </c>
      <c r="V404" s="6">
        <f t="shared" si="52"/>
        <v>0</v>
      </c>
      <c r="W404" s="3" t="str">
        <f t="shared" si="53"/>
        <v>CRÍTICO</v>
      </c>
    </row>
    <row r="405" spans="1:23" x14ac:dyDescent="0.25">
      <c r="A405" s="2">
        <f>CONTROLE_DIARIO!A406</f>
        <v>0</v>
      </c>
      <c r="B405" s="51">
        <f>CONTROLE_DIARIO!B406</f>
        <v>0</v>
      </c>
      <c r="C405" s="3">
        <f>CONTROLE_DIARIO!C406</f>
        <v>0</v>
      </c>
      <c r="D405" s="3">
        <f>CONTROLE_DIARIO!D406</f>
        <v>0</v>
      </c>
      <c r="E405" s="3">
        <f>CONTROLE_DIARIO!E406</f>
        <v>0</v>
      </c>
      <c r="F405" s="3">
        <f>CONTROLE_DIARIO!F406</f>
        <v>0</v>
      </c>
      <c r="G405" s="3">
        <f>CONTROLE_DIARIO!G406</f>
        <v>0</v>
      </c>
      <c r="H405" s="3">
        <f>CONTROLE_DIARIO!H406</f>
        <v>0</v>
      </c>
      <c r="I405" s="3">
        <f>CONTROLE_DIARIO!I406</f>
        <v>0</v>
      </c>
      <c r="J405" s="3" t="str">
        <f>CONTROLE_DIARIO!J406</f>
        <v/>
      </c>
      <c r="K405" s="3" t="str">
        <f>CONTROLE_DIARIO!K406</f>
        <v/>
      </c>
      <c r="L405" s="51">
        <f>CONTROLE_DIARIO!L406</f>
        <v>0</v>
      </c>
      <c r="M405" s="51">
        <f>CONTROLE_DIARIO!M406</f>
        <v>0</v>
      </c>
      <c r="N405" s="3">
        <f>CONTROLE_DIARIO!N406</f>
        <v>0</v>
      </c>
      <c r="O405" s="3" t="str">
        <f>CONTROLE_DIARIO!O406</f>
        <v/>
      </c>
      <c r="P405" s="51" t="str">
        <f>CONTROLE_DIARIO!P406</f>
        <v/>
      </c>
      <c r="Q405" s="6">
        <f t="shared" si="47"/>
        <v>0</v>
      </c>
      <c r="R405" s="54" t="str">
        <f t="shared" si="48"/>
        <v>OK</v>
      </c>
      <c r="S405" s="3" t="str">
        <f t="shared" si="49"/>
        <v>jan/yy</v>
      </c>
      <c r="T405" s="3">
        <f t="shared" si="50"/>
        <v>1</v>
      </c>
      <c r="U405" s="3">
        <f t="shared" si="51"/>
        <v>1900</v>
      </c>
      <c r="V405" s="6">
        <f t="shared" si="52"/>
        <v>0</v>
      </c>
      <c r="W405" s="3" t="str">
        <f t="shared" si="53"/>
        <v>CRÍTICO</v>
      </c>
    </row>
    <row r="406" spans="1:23" x14ac:dyDescent="0.25">
      <c r="A406" s="2">
        <f>CONTROLE_DIARIO!A407</f>
        <v>0</v>
      </c>
      <c r="B406" s="51">
        <f>CONTROLE_DIARIO!B407</f>
        <v>0</v>
      </c>
      <c r="C406" s="3">
        <f>CONTROLE_DIARIO!C407</f>
        <v>0</v>
      </c>
      <c r="D406" s="3">
        <f>CONTROLE_DIARIO!D407</f>
        <v>0</v>
      </c>
      <c r="E406" s="3">
        <f>CONTROLE_DIARIO!E407</f>
        <v>0</v>
      </c>
      <c r="F406" s="3">
        <f>CONTROLE_DIARIO!F407</f>
        <v>0</v>
      </c>
      <c r="G406" s="3">
        <f>CONTROLE_DIARIO!G407</f>
        <v>0</v>
      </c>
      <c r="H406" s="3">
        <f>CONTROLE_DIARIO!H407</f>
        <v>0</v>
      </c>
      <c r="I406" s="3">
        <f>CONTROLE_DIARIO!I407</f>
        <v>0</v>
      </c>
      <c r="J406" s="3" t="str">
        <f>CONTROLE_DIARIO!J407</f>
        <v/>
      </c>
      <c r="K406" s="3" t="str">
        <f>CONTROLE_DIARIO!K407</f>
        <v/>
      </c>
      <c r="L406" s="51">
        <f>CONTROLE_DIARIO!L407</f>
        <v>0</v>
      </c>
      <c r="M406" s="51">
        <f>CONTROLE_DIARIO!M407</f>
        <v>0</v>
      </c>
      <c r="N406" s="3">
        <f>CONTROLE_DIARIO!N407</f>
        <v>0</v>
      </c>
      <c r="O406" s="3" t="str">
        <f>CONTROLE_DIARIO!O407</f>
        <v/>
      </c>
      <c r="P406" s="51" t="str">
        <f>CONTROLE_DIARIO!P407</f>
        <v/>
      </c>
      <c r="Q406" s="6">
        <f t="shared" si="47"/>
        <v>0</v>
      </c>
      <c r="R406" s="54" t="str">
        <f t="shared" si="48"/>
        <v>OK</v>
      </c>
      <c r="S406" s="3" t="str">
        <f t="shared" si="49"/>
        <v>jan/yy</v>
      </c>
      <c r="T406" s="3">
        <f t="shared" si="50"/>
        <v>1</v>
      </c>
      <c r="U406" s="3">
        <f t="shared" si="51"/>
        <v>1900</v>
      </c>
      <c r="V406" s="6">
        <f t="shared" si="52"/>
        <v>0</v>
      </c>
      <c r="W406" s="3" t="str">
        <f t="shared" si="53"/>
        <v>CRÍTICO</v>
      </c>
    </row>
    <row r="407" spans="1:23" x14ac:dyDescent="0.25">
      <c r="A407" s="2">
        <f>CONTROLE_DIARIO!A408</f>
        <v>0</v>
      </c>
      <c r="B407" s="51">
        <f>CONTROLE_DIARIO!B408</f>
        <v>0</v>
      </c>
      <c r="C407" s="3">
        <f>CONTROLE_DIARIO!C408</f>
        <v>0</v>
      </c>
      <c r="D407" s="3">
        <f>CONTROLE_DIARIO!D408</f>
        <v>0</v>
      </c>
      <c r="E407" s="3">
        <f>CONTROLE_DIARIO!E408</f>
        <v>0</v>
      </c>
      <c r="F407" s="3">
        <f>CONTROLE_DIARIO!F408</f>
        <v>0</v>
      </c>
      <c r="G407" s="3">
        <f>CONTROLE_DIARIO!G408</f>
        <v>0</v>
      </c>
      <c r="H407" s="3">
        <f>CONTROLE_DIARIO!H408</f>
        <v>0</v>
      </c>
      <c r="I407" s="3">
        <f>CONTROLE_DIARIO!I408</f>
        <v>0</v>
      </c>
      <c r="J407" s="3" t="str">
        <f>CONTROLE_DIARIO!J408</f>
        <v/>
      </c>
      <c r="K407" s="3" t="str">
        <f>CONTROLE_DIARIO!K408</f>
        <v/>
      </c>
      <c r="L407" s="51">
        <f>CONTROLE_DIARIO!L408</f>
        <v>0</v>
      </c>
      <c r="M407" s="51">
        <f>CONTROLE_DIARIO!M408</f>
        <v>0</v>
      </c>
      <c r="N407" s="3">
        <f>CONTROLE_DIARIO!N408</f>
        <v>0</v>
      </c>
      <c r="O407" s="3" t="str">
        <f>CONTROLE_DIARIO!O408</f>
        <v/>
      </c>
      <c r="P407" s="51" t="str">
        <f>CONTROLE_DIARIO!P408</f>
        <v/>
      </c>
      <c r="Q407" s="6">
        <f t="shared" si="47"/>
        <v>0</v>
      </c>
      <c r="R407" s="54" t="str">
        <f t="shared" si="48"/>
        <v>OK</v>
      </c>
      <c r="S407" s="3" t="str">
        <f t="shared" si="49"/>
        <v>jan/yy</v>
      </c>
      <c r="T407" s="3">
        <f t="shared" si="50"/>
        <v>1</v>
      </c>
      <c r="U407" s="3">
        <f t="shared" si="51"/>
        <v>1900</v>
      </c>
      <c r="V407" s="6">
        <f t="shared" si="52"/>
        <v>0</v>
      </c>
      <c r="W407" s="3" t="str">
        <f t="shared" si="53"/>
        <v>CRÍTICO</v>
      </c>
    </row>
    <row r="408" spans="1:23" x14ac:dyDescent="0.25">
      <c r="A408" s="2">
        <f>CONTROLE_DIARIO!A409</f>
        <v>0</v>
      </c>
      <c r="B408" s="51">
        <f>CONTROLE_DIARIO!B409</f>
        <v>0</v>
      </c>
      <c r="C408" s="3">
        <f>CONTROLE_DIARIO!C409</f>
        <v>0</v>
      </c>
      <c r="D408" s="3">
        <f>CONTROLE_DIARIO!D409</f>
        <v>0</v>
      </c>
      <c r="E408" s="3">
        <f>CONTROLE_DIARIO!E409</f>
        <v>0</v>
      </c>
      <c r="F408" s="3">
        <f>CONTROLE_DIARIO!F409</f>
        <v>0</v>
      </c>
      <c r="G408" s="3">
        <f>CONTROLE_DIARIO!G409</f>
        <v>0</v>
      </c>
      <c r="H408" s="3">
        <f>CONTROLE_DIARIO!H409</f>
        <v>0</v>
      </c>
      <c r="I408" s="3">
        <f>CONTROLE_DIARIO!I409</f>
        <v>0</v>
      </c>
      <c r="J408" s="3" t="str">
        <f>CONTROLE_DIARIO!J409</f>
        <v/>
      </c>
      <c r="K408" s="3" t="str">
        <f>CONTROLE_DIARIO!K409</f>
        <v/>
      </c>
      <c r="L408" s="51">
        <f>CONTROLE_DIARIO!L409</f>
        <v>0</v>
      </c>
      <c r="M408" s="51">
        <f>CONTROLE_DIARIO!M409</f>
        <v>0</v>
      </c>
      <c r="N408" s="3">
        <f>CONTROLE_DIARIO!N409</f>
        <v>0</v>
      </c>
      <c r="O408" s="3" t="str">
        <f>CONTROLE_DIARIO!O409</f>
        <v/>
      </c>
      <c r="P408" s="51" t="str">
        <f>CONTROLE_DIARIO!P409</f>
        <v/>
      </c>
      <c r="Q408" s="6">
        <f t="shared" si="47"/>
        <v>0</v>
      </c>
      <c r="R408" s="54" t="str">
        <f t="shared" si="48"/>
        <v>OK</v>
      </c>
      <c r="S408" s="3" t="str">
        <f t="shared" si="49"/>
        <v>jan/yy</v>
      </c>
      <c r="T408" s="3">
        <f t="shared" si="50"/>
        <v>1</v>
      </c>
      <c r="U408" s="3">
        <f t="shared" si="51"/>
        <v>1900</v>
      </c>
      <c r="V408" s="6">
        <f t="shared" si="52"/>
        <v>0</v>
      </c>
      <c r="W408" s="3" t="str">
        <f t="shared" si="53"/>
        <v>CRÍTICO</v>
      </c>
    </row>
    <row r="409" spans="1:23" x14ac:dyDescent="0.25">
      <c r="A409" s="2">
        <f>CONTROLE_DIARIO!A410</f>
        <v>0</v>
      </c>
      <c r="B409" s="51">
        <f>CONTROLE_DIARIO!B410</f>
        <v>0</v>
      </c>
      <c r="C409" s="3">
        <f>CONTROLE_DIARIO!C410</f>
        <v>0</v>
      </c>
      <c r="D409" s="3">
        <f>CONTROLE_DIARIO!D410</f>
        <v>0</v>
      </c>
      <c r="E409" s="3">
        <f>CONTROLE_DIARIO!E410</f>
        <v>0</v>
      </c>
      <c r="F409" s="3">
        <f>CONTROLE_DIARIO!F410</f>
        <v>0</v>
      </c>
      <c r="G409" s="3">
        <f>CONTROLE_DIARIO!G410</f>
        <v>0</v>
      </c>
      <c r="H409" s="3">
        <f>CONTROLE_DIARIO!H410</f>
        <v>0</v>
      </c>
      <c r="I409" s="3">
        <f>CONTROLE_DIARIO!I410</f>
        <v>0</v>
      </c>
      <c r="J409" s="3" t="str">
        <f>CONTROLE_DIARIO!J410</f>
        <v/>
      </c>
      <c r="K409" s="3" t="str">
        <f>CONTROLE_DIARIO!K410</f>
        <v/>
      </c>
      <c r="L409" s="51">
        <f>CONTROLE_DIARIO!L410</f>
        <v>0</v>
      </c>
      <c r="M409" s="51">
        <f>CONTROLE_DIARIO!M410</f>
        <v>0</v>
      </c>
      <c r="N409" s="3">
        <f>CONTROLE_DIARIO!N410</f>
        <v>0</v>
      </c>
      <c r="O409" s="3" t="str">
        <f>CONTROLE_DIARIO!O410</f>
        <v/>
      </c>
      <c r="P409" s="51" t="str">
        <f>CONTROLE_DIARIO!P410</f>
        <v/>
      </c>
      <c r="Q409" s="6">
        <f t="shared" si="47"/>
        <v>0</v>
      </c>
      <c r="R409" s="54" t="str">
        <f t="shared" si="48"/>
        <v>OK</v>
      </c>
      <c r="S409" s="3" t="str">
        <f t="shared" si="49"/>
        <v>jan/yy</v>
      </c>
      <c r="T409" s="3">
        <f t="shared" si="50"/>
        <v>1</v>
      </c>
      <c r="U409" s="3">
        <f t="shared" si="51"/>
        <v>1900</v>
      </c>
      <c r="V409" s="6">
        <f t="shared" si="52"/>
        <v>0</v>
      </c>
      <c r="W409" s="3" t="str">
        <f t="shared" si="53"/>
        <v>CRÍTICO</v>
      </c>
    </row>
    <row r="410" spans="1:23" x14ac:dyDescent="0.25">
      <c r="A410" s="2">
        <f>CONTROLE_DIARIO!A411</f>
        <v>0</v>
      </c>
      <c r="B410" s="51">
        <f>CONTROLE_DIARIO!B411</f>
        <v>0</v>
      </c>
      <c r="C410" s="3">
        <f>CONTROLE_DIARIO!C411</f>
        <v>0</v>
      </c>
      <c r="D410" s="3">
        <f>CONTROLE_DIARIO!D411</f>
        <v>0</v>
      </c>
      <c r="E410" s="3">
        <f>CONTROLE_DIARIO!E411</f>
        <v>0</v>
      </c>
      <c r="F410" s="3">
        <f>CONTROLE_DIARIO!F411</f>
        <v>0</v>
      </c>
      <c r="G410" s="3">
        <f>CONTROLE_DIARIO!G411</f>
        <v>0</v>
      </c>
      <c r="H410" s="3">
        <f>CONTROLE_DIARIO!H411</f>
        <v>0</v>
      </c>
      <c r="I410" s="3">
        <f>CONTROLE_DIARIO!I411</f>
        <v>0</v>
      </c>
      <c r="J410" s="3" t="str">
        <f>CONTROLE_DIARIO!J411</f>
        <v/>
      </c>
      <c r="K410" s="3" t="str">
        <f>CONTROLE_DIARIO!K411</f>
        <v/>
      </c>
      <c r="L410" s="51">
        <f>CONTROLE_DIARIO!L411</f>
        <v>0</v>
      </c>
      <c r="M410" s="51">
        <f>CONTROLE_DIARIO!M411</f>
        <v>0</v>
      </c>
      <c r="N410" s="3">
        <f>CONTROLE_DIARIO!N411</f>
        <v>0</v>
      </c>
      <c r="O410" s="3" t="str">
        <f>CONTROLE_DIARIO!O411</f>
        <v/>
      </c>
      <c r="P410" s="51" t="str">
        <f>CONTROLE_DIARIO!P411</f>
        <v/>
      </c>
      <c r="Q410" s="6">
        <f t="shared" si="47"/>
        <v>0</v>
      </c>
      <c r="R410" s="54" t="str">
        <f t="shared" si="48"/>
        <v>OK</v>
      </c>
      <c r="S410" s="3" t="str">
        <f t="shared" si="49"/>
        <v>jan/yy</v>
      </c>
      <c r="T410" s="3">
        <f t="shared" si="50"/>
        <v>1</v>
      </c>
      <c r="U410" s="3">
        <f t="shared" si="51"/>
        <v>1900</v>
      </c>
      <c r="V410" s="6">
        <f t="shared" si="52"/>
        <v>0</v>
      </c>
      <c r="W410" s="3" t="str">
        <f t="shared" si="53"/>
        <v>CRÍTICO</v>
      </c>
    </row>
    <row r="411" spans="1:23" x14ac:dyDescent="0.25">
      <c r="A411" s="2">
        <f>CONTROLE_DIARIO!A412</f>
        <v>0</v>
      </c>
      <c r="B411" s="51">
        <f>CONTROLE_DIARIO!B412</f>
        <v>0</v>
      </c>
      <c r="C411" s="3">
        <f>CONTROLE_DIARIO!C412</f>
        <v>0</v>
      </c>
      <c r="D411" s="3">
        <f>CONTROLE_DIARIO!D412</f>
        <v>0</v>
      </c>
      <c r="E411" s="3">
        <f>CONTROLE_DIARIO!E412</f>
        <v>0</v>
      </c>
      <c r="F411" s="3">
        <f>CONTROLE_DIARIO!F412</f>
        <v>0</v>
      </c>
      <c r="G411" s="3">
        <f>CONTROLE_DIARIO!G412</f>
        <v>0</v>
      </c>
      <c r="H411" s="3">
        <f>CONTROLE_DIARIO!H412</f>
        <v>0</v>
      </c>
      <c r="I411" s="3">
        <f>CONTROLE_DIARIO!I412</f>
        <v>0</v>
      </c>
      <c r="J411" s="3" t="str">
        <f>CONTROLE_DIARIO!J412</f>
        <v/>
      </c>
      <c r="K411" s="3" t="str">
        <f>CONTROLE_DIARIO!K412</f>
        <v/>
      </c>
      <c r="L411" s="51">
        <f>CONTROLE_DIARIO!L412</f>
        <v>0</v>
      </c>
      <c r="M411" s="51">
        <f>CONTROLE_DIARIO!M412</f>
        <v>0</v>
      </c>
      <c r="N411" s="3">
        <f>CONTROLE_DIARIO!N412</f>
        <v>0</v>
      </c>
      <c r="O411" s="3" t="str">
        <f>CONTROLE_DIARIO!O412</f>
        <v/>
      </c>
      <c r="P411" s="51" t="str">
        <f>CONTROLE_DIARIO!P412</f>
        <v/>
      </c>
      <c r="Q411" s="6">
        <f t="shared" si="47"/>
        <v>0</v>
      </c>
      <c r="R411" s="54" t="str">
        <f t="shared" si="48"/>
        <v>OK</v>
      </c>
      <c r="S411" s="3" t="str">
        <f t="shared" si="49"/>
        <v>jan/yy</v>
      </c>
      <c r="T411" s="3">
        <f t="shared" si="50"/>
        <v>1</v>
      </c>
      <c r="U411" s="3">
        <f t="shared" si="51"/>
        <v>1900</v>
      </c>
      <c r="V411" s="6">
        <f t="shared" si="52"/>
        <v>0</v>
      </c>
      <c r="W411" s="3" t="str">
        <f t="shared" si="53"/>
        <v>CRÍTICO</v>
      </c>
    </row>
    <row r="412" spans="1:23" x14ac:dyDescent="0.25">
      <c r="A412" s="2">
        <f>CONTROLE_DIARIO!A413</f>
        <v>0</v>
      </c>
      <c r="B412" s="51">
        <f>CONTROLE_DIARIO!B413</f>
        <v>0</v>
      </c>
      <c r="C412" s="3">
        <f>CONTROLE_DIARIO!C413</f>
        <v>0</v>
      </c>
      <c r="D412" s="3">
        <f>CONTROLE_DIARIO!D413</f>
        <v>0</v>
      </c>
      <c r="E412" s="3">
        <f>CONTROLE_DIARIO!E413</f>
        <v>0</v>
      </c>
      <c r="F412" s="3">
        <f>CONTROLE_DIARIO!F413</f>
        <v>0</v>
      </c>
      <c r="G412" s="3">
        <f>CONTROLE_DIARIO!G413</f>
        <v>0</v>
      </c>
      <c r="H412" s="3">
        <f>CONTROLE_DIARIO!H413</f>
        <v>0</v>
      </c>
      <c r="I412" s="3">
        <f>CONTROLE_DIARIO!I413</f>
        <v>0</v>
      </c>
      <c r="J412" s="3" t="str">
        <f>CONTROLE_DIARIO!J413</f>
        <v/>
      </c>
      <c r="K412" s="3" t="str">
        <f>CONTROLE_DIARIO!K413</f>
        <v/>
      </c>
      <c r="L412" s="51">
        <f>CONTROLE_DIARIO!L413</f>
        <v>0</v>
      </c>
      <c r="M412" s="51">
        <f>CONTROLE_DIARIO!M413</f>
        <v>0</v>
      </c>
      <c r="N412" s="3">
        <f>CONTROLE_DIARIO!N413</f>
        <v>0</v>
      </c>
      <c r="O412" s="3" t="str">
        <f>CONTROLE_DIARIO!O413</f>
        <v/>
      </c>
      <c r="P412" s="51" t="str">
        <f>CONTROLE_DIARIO!P413</f>
        <v/>
      </c>
      <c r="Q412" s="6">
        <f t="shared" si="47"/>
        <v>0</v>
      </c>
      <c r="R412" s="54" t="str">
        <f t="shared" si="48"/>
        <v>OK</v>
      </c>
      <c r="S412" s="3" t="str">
        <f t="shared" si="49"/>
        <v>jan/yy</v>
      </c>
      <c r="T412" s="3">
        <f t="shared" si="50"/>
        <v>1</v>
      </c>
      <c r="U412" s="3">
        <f t="shared" si="51"/>
        <v>1900</v>
      </c>
      <c r="V412" s="6">
        <f t="shared" si="52"/>
        <v>0</v>
      </c>
      <c r="W412" s="3" t="str">
        <f t="shared" si="53"/>
        <v>CRÍTICO</v>
      </c>
    </row>
    <row r="413" spans="1:23" x14ac:dyDescent="0.25">
      <c r="A413" s="2">
        <f>CONTROLE_DIARIO!A414</f>
        <v>0</v>
      </c>
      <c r="B413" s="51">
        <f>CONTROLE_DIARIO!B414</f>
        <v>0</v>
      </c>
      <c r="C413" s="3">
        <f>CONTROLE_DIARIO!C414</f>
        <v>0</v>
      </c>
      <c r="D413" s="3">
        <f>CONTROLE_DIARIO!D414</f>
        <v>0</v>
      </c>
      <c r="E413" s="3">
        <f>CONTROLE_DIARIO!E414</f>
        <v>0</v>
      </c>
      <c r="F413" s="3">
        <f>CONTROLE_DIARIO!F414</f>
        <v>0</v>
      </c>
      <c r="G413" s="3">
        <f>CONTROLE_DIARIO!G414</f>
        <v>0</v>
      </c>
      <c r="H413" s="3">
        <f>CONTROLE_DIARIO!H414</f>
        <v>0</v>
      </c>
      <c r="I413" s="3">
        <f>CONTROLE_DIARIO!I414</f>
        <v>0</v>
      </c>
      <c r="J413" s="3" t="str">
        <f>CONTROLE_DIARIO!J414</f>
        <v/>
      </c>
      <c r="K413" s="3" t="str">
        <f>CONTROLE_DIARIO!K414</f>
        <v/>
      </c>
      <c r="L413" s="51">
        <f>CONTROLE_DIARIO!L414</f>
        <v>0</v>
      </c>
      <c r="M413" s="51">
        <f>CONTROLE_DIARIO!M414</f>
        <v>0</v>
      </c>
      <c r="N413" s="3">
        <f>CONTROLE_DIARIO!N414</f>
        <v>0</v>
      </c>
      <c r="O413" s="3" t="str">
        <f>CONTROLE_DIARIO!O414</f>
        <v/>
      </c>
      <c r="P413" s="51" t="str">
        <f>CONTROLE_DIARIO!P414</f>
        <v/>
      </c>
      <c r="Q413" s="6">
        <f t="shared" si="47"/>
        <v>0</v>
      </c>
      <c r="R413" s="54" t="str">
        <f t="shared" si="48"/>
        <v>OK</v>
      </c>
      <c r="S413" s="3" t="str">
        <f t="shared" si="49"/>
        <v>jan/yy</v>
      </c>
      <c r="T413" s="3">
        <f t="shared" si="50"/>
        <v>1</v>
      </c>
      <c r="U413" s="3">
        <f t="shared" si="51"/>
        <v>1900</v>
      </c>
      <c r="V413" s="6">
        <f t="shared" si="52"/>
        <v>0</v>
      </c>
      <c r="W413" s="3" t="str">
        <f t="shared" si="53"/>
        <v>CRÍTICO</v>
      </c>
    </row>
    <row r="414" spans="1:23" x14ac:dyDescent="0.25">
      <c r="A414" s="2">
        <f>CONTROLE_DIARIO!A415</f>
        <v>0</v>
      </c>
      <c r="B414" s="51">
        <f>CONTROLE_DIARIO!B415</f>
        <v>0</v>
      </c>
      <c r="C414" s="3">
        <f>CONTROLE_DIARIO!C415</f>
        <v>0</v>
      </c>
      <c r="D414" s="3">
        <f>CONTROLE_DIARIO!D415</f>
        <v>0</v>
      </c>
      <c r="E414" s="3">
        <f>CONTROLE_DIARIO!E415</f>
        <v>0</v>
      </c>
      <c r="F414" s="3">
        <f>CONTROLE_DIARIO!F415</f>
        <v>0</v>
      </c>
      <c r="G414" s="3">
        <f>CONTROLE_DIARIO!G415</f>
        <v>0</v>
      </c>
      <c r="H414" s="3">
        <f>CONTROLE_DIARIO!H415</f>
        <v>0</v>
      </c>
      <c r="I414" s="3">
        <f>CONTROLE_DIARIO!I415</f>
        <v>0</v>
      </c>
      <c r="J414" s="3" t="str">
        <f>CONTROLE_DIARIO!J415</f>
        <v/>
      </c>
      <c r="K414" s="3" t="str">
        <f>CONTROLE_DIARIO!K415</f>
        <v/>
      </c>
      <c r="L414" s="51">
        <f>CONTROLE_DIARIO!L415</f>
        <v>0</v>
      </c>
      <c r="M414" s="51">
        <f>CONTROLE_DIARIO!M415</f>
        <v>0</v>
      </c>
      <c r="N414" s="3">
        <f>CONTROLE_DIARIO!N415</f>
        <v>0</v>
      </c>
      <c r="O414" s="3" t="str">
        <f>CONTROLE_DIARIO!O415</f>
        <v/>
      </c>
      <c r="P414" s="51" t="str">
        <f>CONTROLE_DIARIO!P415</f>
        <v/>
      </c>
      <c r="Q414" s="6">
        <f t="shared" si="47"/>
        <v>0</v>
      </c>
      <c r="R414" s="54" t="str">
        <f t="shared" si="48"/>
        <v>OK</v>
      </c>
      <c r="S414" s="3" t="str">
        <f t="shared" si="49"/>
        <v>jan/yy</v>
      </c>
      <c r="T414" s="3">
        <f t="shared" si="50"/>
        <v>1</v>
      </c>
      <c r="U414" s="3">
        <f t="shared" si="51"/>
        <v>1900</v>
      </c>
      <c r="V414" s="6">
        <f t="shared" si="52"/>
        <v>0</v>
      </c>
      <c r="W414" s="3" t="str">
        <f t="shared" si="53"/>
        <v>CRÍTICO</v>
      </c>
    </row>
    <row r="415" spans="1:23" x14ac:dyDescent="0.25">
      <c r="A415" s="2">
        <f>CONTROLE_DIARIO!A416</f>
        <v>0</v>
      </c>
      <c r="B415" s="51">
        <f>CONTROLE_DIARIO!B416</f>
        <v>0</v>
      </c>
      <c r="C415" s="3">
        <f>CONTROLE_DIARIO!C416</f>
        <v>0</v>
      </c>
      <c r="D415" s="3">
        <f>CONTROLE_DIARIO!D416</f>
        <v>0</v>
      </c>
      <c r="E415" s="3">
        <f>CONTROLE_DIARIO!E416</f>
        <v>0</v>
      </c>
      <c r="F415" s="3">
        <f>CONTROLE_DIARIO!F416</f>
        <v>0</v>
      </c>
      <c r="G415" s="3">
        <f>CONTROLE_DIARIO!G416</f>
        <v>0</v>
      </c>
      <c r="H415" s="3">
        <f>CONTROLE_DIARIO!H416</f>
        <v>0</v>
      </c>
      <c r="I415" s="3">
        <f>CONTROLE_DIARIO!I416</f>
        <v>0</v>
      </c>
      <c r="J415" s="3" t="str">
        <f>CONTROLE_DIARIO!J416</f>
        <v/>
      </c>
      <c r="K415" s="3" t="str">
        <f>CONTROLE_DIARIO!K416</f>
        <v/>
      </c>
      <c r="L415" s="51">
        <f>CONTROLE_DIARIO!L416</f>
        <v>0</v>
      </c>
      <c r="M415" s="51">
        <f>CONTROLE_DIARIO!M416</f>
        <v>0</v>
      </c>
      <c r="N415" s="3">
        <f>CONTROLE_DIARIO!N416</f>
        <v>0</v>
      </c>
      <c r="O415" s="3" t="str">
        <f>CONTROLE_DIARIO!O416</f>
        <v/>
      </c>
      <c r="P415" s="51" t="str">
        <f>CONTROLE_DIARIO!P416</f>
        <v/>
      </c>
      <c r="Q415" s="6">
        <f t="shared" si="47"/>
        <v>0</v>
      </c>
      <c r="R415" s="54" t="str">
        <f t="shared" si="48"/>
        <v>OK</v>
      </c>
      <c r="S415" s="3" t="str">
        <f t="shared" si="49"/>
        <v>jan/yy</v>
      </c>
      <c r="T415" s="3">
        <f t="shared" si="50"/>
        <v>1</v>
      </c>
      <c r="U415" s="3">
        <f t="shared" si="51"/>
        <v>1900</v>
      </c>
      <c r="V415" s="6">
        <f t="shared" si="52"/>
        <v>0</v>
      </c>
      <c r="W415" s="3" t="str">
        <f t="shared" si="53"/>
        <v>CRÍTICO</v>
      </c>
    </row>
    <row r="416" spans="1:23" x14ac:dyDescent="0.25">
      <c r="A416" s="2">
        <f>CONTROLE_DIARIO!A417</f>
        <v>0</v>
      </c>
      <c r="B416" s="51">
        <f>CONTROLE_DIARIO!B417</f>
        <v>0</v>
      </c>
      <c r="C416" s="3">
        <f>CONTROLE_DIARIO!C417</f>
        <v>0</v>
      </c>
      <c r="D416" s="3">
        <f>CONTROLE_DIARIO!D417</f>
        <v>0</v>
      </c>
      <c r="E416" s="3">
        <f>CONTROLE_DIARIO!E417</f>
        <v>0</v>
      </c>
      <c r="F416" s="3">
        <f>CONTROLE_DIARIO!F417</f>
        <v>0</v>
      </c>
      <c r="G416" s="3">
        <f>CONTROLE_DIARIO!G417</f>
        <v>0</v>
      </c>
      <c r="H416" s="3">
        <f>CONTROLE_DIARIO!H417</f>
        <v>0</v>
      </c>
      <c r="I416" s="3">
        <f>CONTROLE_DIARIO!I417</f>
        <v>0</v>
      </c>
      <c r="J416" s="3" t="str">
        <f>CONTROLE_DIARIO!J417</f>
        <v/>
      </c>
      <c r="K416" s="3" t="str">
        <f>CONTROLE_DIARIO!K417</f>
        <v/>
      </c>
      <c r="L416" s="51">
        <f>CONTROLE_DIARIO!L417</f>
        <v>0</v>
      </c>
      <c r="M416" s="51">
        <f>CONTROLE_DIARIO!M417</f>
        <v>0</v>
      </c>
      <c r="N416" s="3">
        <f>CONTROLE_DIARIO!N417</f>
        <v>0</v>
      </c>
      <c r="O416" s="3" t="str">
        <f>CONTROLE_DIARIO!O417</f>
        <v/>
      </c>
      <c r="P416" s="51" t="str">
        <f>CONTROLE_DIARIO!P417</f>
        <v/>
      </c>
      <c r="Q416" s="6">
        <f t="shared" si="47"/>
        <v>0</v>
      </c>
      <c r="R416" s="54" t="str">
        <f t="shared" si="48"/>
        <v>OK</v>
      </c>
      <c r="S416" s="3" t="str">
        <f t="shared" si="49"/>
        <v>jan/yy</v>
      </c>
      <c r="T416" s="3">
        <f t="shared" si="50"/>
        <v>1</v>
      </c>
      <c r="U416" s="3">
        <f t="shared" si="51"/>
        <v>1900</v>
      </c>
      <c r="V416" s="6">
        <f t="shared" si="52"/>
        <v>0</v>
      </c>
      <c r="W416" s="3" t="str">
        <f t="shared" si="53"/>
        <v>CRÍTICO</v>
      </c>
    </row>
    <row r="417" spans="1:23" x14ac:dyDescent="0.25">
      <c r="A417" s="2">
        <f>CONTROLE_DIARIO!A418</f>
        <v>0</v>
      </c>
      <c r="B417" s="51">
        <f>CONTROLE_DIARIO!B418</f>
        <v>0</v>
      </c>
      <c r="C417" s="3">
        <f>CONTROLE_DIARIO!C418</f>
        <v>0</v>
      </c>
      <c r="D417" s="3">
        <f>CONTROLE_DIARIO!D418</f>
        <v>0</v>
      </c>
      <c r="E417" s="3">
        <f>CONTROLE_DIARIO!E418</f>
        <v>0</v>
      </c>
      <c r="F417" s="3">
        <f>CONTROLE_DIARIO!F418</f>
        <v>0</v>
      </c>
      <c r="G417" s="3">
        <f>CONTROLE_DIARIO!G418</f>
        <v>0</v>
      </c>
      <c r="H417" s="3">
        <f>CONTROLE_DIARIO!H418</f>
        <v>0</v>
      </c>
      <c r="I417" s="3">
        <f>CONTROLE_DIARIO!I418</f>
        <v>0</v>
      </c>
      <c r="J417" s="3" t="str">
        <f>CONTROLE_DIARIO!J418</f>
        <v/>
      </c>
      <c r="K417" s="3" t="str">
        <f>CONTROLE_DIARIO!K418</f>
        <v/>
      </c>
      <c r="L417" s="51">
        <f>CONTROLE_DIARIO!L418</f>
        <v>0</v>
      </c>
      <c r="M417" s="51">
        <f>CONTROLE_DIARIO!M418</f>
        <v>0</v>
      </c>
      <c r="N417" s="3">
        <f>CONTROLE_DIARIO!N418</f>
        <v>0</v>
      </c>
      <c r="O417" s="3" t="str">
        <f>CONTROLE_DIARIO!O418</f>
        <v/>
      </c>
      <c r="P417" s="51" t="str">
        <f>CONTROLE_DIARIO!P418</f>
        <v/>
      </c>
      <c r="Q417" s="6">
        <f t="shared" si="47"/>
        <v>0</v>
      </c>
      <c r="R417" s="54" t="str">
        <f t="shared" si="48"/>
        <v>OK</v>
      </c>
      <c r="S417" s="3" t="str">
        <f t="shared" si="49"/>
        <v>jan/yy</v>
      </c>
      <c r="T417" s="3">
        <f t="shared" si="50"/>
        <v>1</v>
      </c>
      <c r="U417" s="3">
        <f t="shared" si="51"/>
        <v>1900</v>
      </c>
      <c r="V417" s="6">
        <f t="shared" si="52"/>
        <v>0</v>
      </c>
      <c r="W417" s="3" t="str">
        <f t="shared" si="53"/>
        <v>CRÍTICO</v>
      </c>
    </row>
    <row r="418" spans="1:23" x14ac:dyDescent="0.25">
      <c r="A418" s="2">
        <f>CONTROLE_DIARIO!A419</f>
        <v>0</v>
      </c>
      <c r="B418" s="51">
        <f>CONTROLE_DIARIO!B419</f>
        <v>0</v>
      </c>
      <c r="C418" s="3">
        <f>CONTROLE_DIARIO!C419</f>
        <v>0</v>
      </c>
      <c r="D418" s="3">
        <f>CONTROLE_DIARIO!D419</f>
        <v>0</v>
      </c>
      <c r="E418" s="3">
        <f>CONTROLE_DIARIO!E419</f>
        <v>0</v>
      </c>
      <c r="F418" s="3">
        <f>CONTROLE_DIARIO!F419</f>
        <v>0</v>
      </c>
      <c r="G418" s="3">
        <f>CONTROLE_DIARIO!G419</f>
        <v>0</v>
      </c>
      <c r="H418" s="3">
        <f>CONTROLE_DIARIO!H419</f>
        <v>0</v>
      </c>
      <c r="I418" s="3">
        <f>CONTROLE_DIARIO!I419</f>
        <v>0</v>
      </c>
      <c r="J418" s="3" t="str">
        <f>CONTROLE_DIARIO!J419</f>
        <v/>
      </c>
      <c r="K418" s="3" t="str">
        <f>CONTROLE_DIARIO!K419</f>
        <v/>
      </c>
      <c r="L418" s="51">
        <f>CONTROLE_DIARIO!L419</f>
        <v>0</v>
      </c>
      <c r="M418" s="51">
        <f>CONTROLE_DIARIO!M419</f>
        <v>0</v>
      </c>
      <c r="N418" s="3">
        <f>CONTROLE_DIARIO!N419</f>
        <v>0</v>
      </c>
      <c r="O418" s="3" t="str">
        <f>CONTROLE_DIARIO!O419</f>
        <v/>
      </c>
      <c r="P418" s="51" t="str">
        <f>CONTROLE_DIARIO!P419</f>
        <v/>
      </c>
      <c r="Q418" s="6">
        <f t="shared" si="47"/>
        <v>0</v>
      </c>
      <c r="R418" s="54" t="str">
        <f t="shared" si="48"/>
        <v>OK</v>
      </c>
      <c r="S418" s="3" t="str">
        <f t="shared" si="49"/>
        <v>jan/yy</v>
      </c>
      <c r="T418" s="3">
        <f t="shared" si="50"/>
        <v>1</v>
      </c>
      <c r="U418" s="3">
        <f t="shared" si="51"/>
        <v>1900</v>
      </c>
      <c r="V418" s="6">
        <f t="shared" si="52"/>
        <v>0</v>
      </c>
      <c r="W418" s="3" t="str">
        <f t="shared" si="53"/>
        <v>CRÍTICO</v>
      </c>
    </row>
    <row r="419" spans="1:23" x14ac:dyDescent="0.25">
      <c r="A419" s="2">
        <f>CONTROLE_DIARIO!A420</f>
        <v>0</v>
      </c>
      <c r="B419" s="51">
        <f>CONTROLE_DIARIO!B420</f>
        <v>0</v>
      </c>
      <c r="C419" s="3">
        <f>CONTROLE_DIARIO!C420</f>
        <v>0</v>
      </c>
      <c r="D419" s="3">
        <f>CONTROLE_DIARIO!D420</f>
        <v>0</v>
      </c>
      <c r="E419" s="3">
        <f>CONTROLE_DIARIO!E420</f>
        <v>0</v>
      </c>
      <c r="F419" s="3">
        <f>CONTROLE_DIARIO!F420</f>
        <v>0</v>
      </c>
      <c r="G419" s="3">
        <f>CONTROLE_DIARIO!G420</f>
        <v>0</v>
      </c>
      <c r="H419" s="3">
        <f>CONTROLE_DIARIO!H420</f>
        <v>0</v>
      </c>
      <c r="I419" s="3">
        <f>CONTROLE_DIARIO!I420</f>
        <v>0</v>
      </c>
      <c r="J419" s="3" t="str">
        <f>CONTROLE_DIARIO!J420</f>
        <v/>
      </c>
      <c r="K419" s="3" t="str">
        <f>CONTROLE_DIARIO!K420</f>
        <v/>
      </c>
      <c r="L419" s="51">
        <f>CONTROLE_DIARIO!L420</f>
        <v>0</v>
      </c>
      <c r="M419" s="51">
        <f>CONTROLE_DIARIO!M420</f>
        <v>0</v>
      </c>
      <c r="N419" s="3">
        <f>CONTROLE_DIARIO!N420</f>
        <v>0</v>
      </c>
      <c r="O419" s="3" t="str">
        <f>CONTROLE_DIARIO!O420</f>
        <v/>
      </c>
      <c r="P419" s="51" t="str">
        <f>CONTROLE_DIARIO!P420</f>
        <v/>
      </c>
      <c r="Q419" s="6">
        <f t="shared" si="47"/>
        <v>0</v>
      </c>
      <c r="R419" s="54" t="str">
        <f t="shared" si="48"/>
        <v>OK</v>
      </c>
      <c r="S419" s="3" t="str">
        <f t="shared" si="49"/>
        <v>jan/yy</v>
      </c>
      <c r="T419" s="3">
        <f t="shared" si="50"/>
        <v>1</v>
      </c>
      <c r="U419" s="3">
        <f t="shared" si="51"/>
        <v>1900</v>
      </c>
      <c r="V419" s="6">
        <f t="shared" si="52"/>
        <v>0</v>
      </c>
      <c r="W419" s="3" t="str">
        <f t="shared" si="53"/>
        <v>CRÍTICO</v>
      </c>
    </row>
    <row r="420" spans="1:23" x14ac:dyDescent="0.25">
      <c r="A420" s="2">
        <f>CONTROLE_DIARIO!A421</f>
        <v>0</v>
      </c>
      <c r="B420" s="51">
        <f>CONTROLE_DIARIO!B421</f>
        <v>0</v>
      </c>
      <c r="C420" s="3">
        <f>CONTROLE_DIARIO!C421</f>
        <v>0</v>
      </c>
      <c r="D420" s="3">
        <f>CONTROLE_DIARIO!D421</f>
        <v>0</v>
      </c>
      <c r="E420" s="3">
        <f>CONTROLE_DIARIO!E421</f>
        <v>0</v>
      </c>
      <c r="F420" s="3">
        <f>CONTROLE_DIARIO!F421</f>
        <v>0</v>
      </c>
      <c r="G420" s="3">
        <f>CONTROLE_DIARIO!G421</f>
        <v>0</v>
      </c>
      <c r="H420" s="3">
        <f>CONTROLE_DIARIO!H421</f>
        <v>0</v>
      </c>
      <c r="I420" s="3">
        <f>CONTROLE_DIARIO!I421</f>
        <v>0</v>
      </c>
      <c r="J420" s="3" t="str">
        <f>CONTROLE_DIARIO!J421</f>
        <v/>
      </c>
      <c r="K420" s="3" t="str">
        <f>CONTROLE_DIARIO!K421</f>
        <v/>
      </c>
      <c r="L420" s="51">
        <f>CONTROLE_DIARIO!L421</f>
        <v>0</v>
      </c>
      <c r="M420" s="51">
        <f>CONTROLE_DIARIO!M421</f>
        <v>0</v>
      </c>
      <c r="N420" s="3">
        <f>CONTROLE_DIARIO!N421</f>
        <v>0</v>
      </c>
      <c r="O420" s="3" t="str">
        <f>CONTROLE_DIARIO!O421</f>
        <v/>
      </c>
      <c r="P420" s="51" t="str">
        <f>CONTROLE_DIARIO!P421</f>
        <v/>
      </c>
      <c r="Q420" s="6">
        <f t="shared" si="47"/>
        <v>0</v>
      </c>
      <c r="R420" s="54" t="str">
        <f t="shared" si="48"/>
        <v>OK</v>
      </c>
      <c r="S420" s="3" t="str">
        <f t="shared" si="49"/>
        <v>jan/yy</v>
      </c>
      <c r="T420" s="3">
        <f t="shared" si="50"/>
        <v>1</v>
      </c>
      <c r="U420" s="3">
        <f t="shared" si="51"/>
        <v>1900</v>
      </c>
      <c r="V420" s="6">
        <f t="shared" si="52"/>
        <v>0</v>
      </c>
      <c r="W420" s="3" t="str">
        <f t="shared" si="53"/>
        <v>CRÍTICO</v>
      </c>
    </row>
    <row r="421" spans="1:23" x14ac:dyDescent="0.25">
      <c r="A421" s="2">
        <f>CONTROLE_DIARIO!A422</f>
        <v>0</v>
      </c>
      <c r="B421" s="51">
        <f>CONTROLE_DIARIO!B422</f>
        <v>0</v>
      </c>
      <c r="C421" s="3">
        <f>CONTROLE_DIARIO!C422</f>
        <v>0</v>
      </c>
      <c r="D421" s="3">
        <f>CONTROLE_DIARIO!D422</f>
        <v>0</v>
      </c>
      <c r="E421" s="3">
        <f>CONTROLE_DIARIO!E422</f>
        <v>0</v>
      </c>
      <c r="F421" s="3">
        <f>CONTROLE_DIARIO!F422</f>
        <v>0</v>
      </c>
      <c r="G421" s="3">
        <f>CONTROLE_DIARIO!G422</f>
        <v>0</v>
      </c>
      <c r="H421" s="3">
        <f>CONTROLE_DIARIO!H422</f>
        <v>0</v>
      </c>
      <c r="I421" s="3">
        <f>CONTROLE_DIARIO!I422</f>
        <v>0</v>
      </c>
      <c r="J421" s="3" t="str">
        <f>CONTROLE_DIARIO!J422</f>
        <v/>
      </c>
      <c r="K421" s="3" t="str">
        <f>CONTROLE_DIARIO!K422</f>
        <v/>
      </c>
      <c r="L421" s="51">
        <f>CONTROLE_DIARIO!L422</f>
        <v>0</v>
      </c>
      <c r="M421" s="51">
        <f>CONTROLE_DIARIO!M422</f>
        <v>0</v>
      </c>
      <c r="N421" s="3">
        <f>CONTROLE_DIARIO!N422</f>
        <v>0</v>
      </c>
      <c r="O421" s="3" t="str">
        <f>CONTROLE_DIARIO!O422</f>
        <v/>
      </c>
      <c r="P421" s="51" t="str">
        <f>CONTROLE_DIARIO!P422</f>
        <v/>
      </c>
      <c r="Q421" s="6">
        <f t="shared" si="47"/>
        <v>0</v>
      </c>
      <c r="R421" s="54" t="str">
        <f t="shared" si="48"/>
        <v>OK</v>
      </c>
      <c r="S421" s="3" t="str">
        <f t="shared" si="49"/>
        <v>jan/yy</v>
      </c>
      <c r="T421" s="3">
        <f t="shared" si="50"/>
        <v>1</v>
      </c>
      <c r="U421" s="3">
        <f t="shared" si="51"/>
        <v>1900</v>
      </c>
      <c r="V421" s="6">
        <f t="shared" si="52"/>
        <v>0</v>
      </c>
      <c r="W421" s="3" t="str">
        <f t="shared" si="53"/>
        <v>CRÍTICO</v>
      </c>
    </row>
    <row r="422" spans="1:23" x14ac:dyDescent="0.25">
      <c r="A422" s="2">
        <f>CONTROLE_DIARIO!A423</f>
        <v>0</v>
      </c>
      <c r="B422" s="51">
        <f>CONTROLE_DIARIO!B423</f>
        <v>0</v>
      </c>
      <c r="C422" s="3">
        <f>CONTROLE_DIARIO!C423</f>
        <v>0</v>
      </c>
      <c r="D422" s="3">
        <f>CONTROLE_DIARIO!D423</f>
        <v>0</v>
      </c>
      <c r="E422" s="3">
        <f>CONTROLE_DIARIO!E423</f>
        <v>0</v>
      </c>
      <c r="F422" s="3">
        <f>CONTROLE_DIARIO!F423</f>
        <v>0</v>
      </c>
      <c r="G422" s="3">
        <f>CONTROLE_DIARIO!G423</f>
        <v>0</v>
      </c>
      <c r="H422" s="3">
        <f>CONTROLE_DIARIO!H423</f>
        <v>0</v>
      </c>
      <c r="I422" s="3">
        <f>CONTROLE_DIARIO!I423</f>
        <v>0</v>
      </c>
      <c r="J422" s="3" t="str">
        <f>CONTROLE_DIARIO!J423</f>
        <v/>
      </c>
      <c r="K422" s="3" t="str">
        <f>CONTROLE_DIARIO!K423</f>
        <v/>
      </c>
      <c r="L422" s="51">
        <f>CONTROLE_DIARIO!L423</f>
        <v>0</v>
      </c>
      <c r="M422" s="51">
        <f>CONTROLE_DIARIO!M423</f>
        <v>0</v>
      </c>
      <c r="N422" s="3">
        <f>CONTROLE_DIARIO!N423</f>
        <v>0</v>
      </c>
      <c r="O422" s="3" t="str">
        <f>CONTROLE_DIARIO!O423</f>
        <v/>
      </c>
      <c r="P422" s="51" t="str">
        <f>CONTROLE_DIARIO!P423</f>
        <v/>
      </c>
      <c r="Q422" s="6">
        <f t="shared" si="47"/>
        <v>0</v>
      </c>
      <c r="R422" s="54" t="str">
        <f t="shared" si="48"/>
        <v>OK</v>
      </c>
      <c r="S422" s="3" t="str">
        <f t="shared" si="49"/>
        <v>jan/yy</v>
      </c>
      <c r="T422" s="3">
        <f t="shared" si="50"/>
        <v>1</v>
      </c>
      <c r="U422" s="3">
        <f t="shared" si="51"/>
        <v>1900</v>
      </c>
      <c r="V422" s="6">
        <f t="shared" si="52"/>
        <v>0</v>
      </c>
      <c r="W422" s="3" t="str">
        <f t="shared" si="53"/>
        <v>CRÍTICO</v>
      </c>
    </row>
    <row r="423" spans="1:23" x14ac:dyDescent="0.25">
      <c r="A423" s="2">
        <f>CONTROLE_DIARIO!A424</f>
        <v>0</v>
      </c>
      <c r="B423" s="51">
        <f>CONTROLE_DIARIO!B424</f>
        <v>0</v>
      </c>
      <c r="C423" s="3">
        <f>CONTROLE_DIARIO!C424</f>
        <v>0</v>
      </c>
      <c r="D423" s="3">
        <f>CONTROLE_DIARIO!D424</f>
        <v>0</v>
      </c>
      <c r="E423" s="3">
        <f>CONTROLE_DIARIO!E424</f>
        <v>0</v>
      </c>
      <c r="F423" s="3">
        <f>CONTROLE_DIARIO!F424</f>
        <v>0</v>
      </c>
      <c r="G423" s="3">
        <f>CONTROLE_DIARIO!G424</f>
        <v>0</v>
      </c>
      <c r="H423" s="3">
        <f>CONTROLE_DIARIO!H424</f>
        <v>0</v>
      </c>
      <c r="I423" s="3">
        <f>CONTROLE_DIARIO!I424</f>
        <v>0</v>
      </c>
      <c r="J423" s="3" t="str">
        <f>CONTROLE_DIARIO!J424</f>
        <v/>
      </c>
      <c r="K423" s="3" t="str">
        <f>CONTROLE_DIARIO!K424</f>
        <v/>
      </c>
      <c r="L423" s="51">
        <f>CONTROLE_DIARIO!L424</f>
        <v>0</v>
      </c>
      <c r="M423" s="51">
        <f>CONTROLE_DIARIO!M424</f>
        <v>0</v>
      </c>
      <c r="N423" s="3">
        <f>CONTROLE_DIARIO!N424</f>
        <v>0</v>
      </c>
      <c r="O423" s="3" t="str">
        <f>CONTROLE_DIARIO!O424</f>
        <v/>
      </c>
      <c r="P423" s="51" t="str">
        <f>CONTROLE_DIARIO!P424</f>
        <v/>
      </c>
      <c r="Q423" s="6">
        <f t="shared" si="47"/>
        <v>0</v>
      </c>
      <c r="R423" s="54" t="str">
        <f t="shared" si="48"/>
        <v>OK</v>
      </c>
      <c r="S423" s="3" t="str">
        <f t="shared" si="49"/>
        <v>jan/yy</v>
      </c>
      <c r="T423" s="3">
        <f t="shared" si="50"/>
        <v>1</v>
      </c>
      <c r="U423" s="3">
        <f t="shared" si="51"/>
        <v>1900</v>
      </c>
      <c r="V423" s="6">
        <f t="shared" si="52"/>
        <v>0</v>
      </c>
      <c r="W423" s="3" t="str">
        <f t="shared" si="53"/>
        <v>CRÍTICO</v>
      </c>
    </row>
    <row r="424" spans="1:23" x14ac:dyDescent="0.25">
      <c r="A424" s="2">
        <f>CONTROLE_DIARIO!A425</f>
        <v>0</v>
      </c>
      <c r="B424" s="51">
        <f>CONTROLE_DIARIO!B425</f>
        <v>0</v>
      </c>
      <c r="C424" s="3">
        <f>CONTROLE_DIARIO!C425</f>
        <v>0</v>
      </c>
      <c r="D424" s="3">
        <f>CONTROLE_DIARIO!D425</f>
        <v>0</v>
      </c>
      <c r="E424" s="3">
        <f>CONTROLE_DIARIO!E425</f>
        <v>0</v>
      </c>
      <c r="F424" s="3">
        <f>CONTROLE_DIARIO!F425</f>
        <v>0</v>
      </c>
      <c r="G424" s="3">
        <f>CONTROLE_DIARIO!G425</f>
        <v>0</v>
      </c>
      <c r="H424" s="3">
        <f>CONTROLE_DIARIO!H425</f>
        <v>0</v>
      </c>
      <c r="I424" s="3">
        <f>CONTROLE_DIARIO!I425</f>
        <v>0</v>
      </c>
      <c r="J424" s="3" t="str">
        <f>CONTROLE_DIARIO!J425</f>
        <v/>
      </c>
      <c r="K424" s="3" t="str">
        <f>CONTROLE_DIARIO!K425</f>
        <v/>
      </c>
      <c r="L424" s="51">
        <f>CONTROLE_DIARIO!L425</f>
        <v>0</v>
      </c>
      <c r="M424" s="51">
        <f>CONTROLE_DIARIO!M425</f>
        <v>0</v>
      </c>
      <c r="N424" s="3">
        <f>CONTROLE_DIARIO!N425</f>
        <v>0</v>
      </c>
      <c r="O424" s="3" t="str">
        <f>CONTROLE_DIARIO!O425</f>
        <v/>
      </c>
      <c r="P424" s="51" t="str">
        <f>CONTROLE_DIARIO!P425</f>
        <v/>
      </c>
      <c r="Q424" s="6">
        <f t="shared" si="47"/>
        <v>0</v>
      </c>
      <c r="R424" s="54" t="str">
        <f t="shared" si="48"/>
        <v>OK</v>
      </c>
      <c r="S424" s="3" t="str">
        <f t="shared" si="49"/>
        <v>jan/yy</v>
      </c>
      <c r="T424" s="3">
        <f t="shared" si="50"/>
        <v>1</v>
      </c>
      <c r="U424" s="3">
        <f t="shared" si="51"/>
        <v>1900</v>
      </c>
      <c r="V424" s="6">
        <f t="shared" si="52"/>
        <v>0</v>
      </c>
      <c r="W424" s="3" t="str">
        <f t="shared" si="53"/>
        <v>CRÍTICO</v>
      </c>
    </row>
    <row r="425" spans="1:23" x14ac:dyDescent="0.25">
      <c r="A425" s="2">
        <f>CONTROLE_DIARIO!A426</f>
        <v>0</v>
      </c>
      <c r="B425" s="51">
        <f>CONTROLE_DIARIO!B426</f>
        <v>0</v>
      </c>
      <c r="C425" s="3">
        <f>CONTROLE_DIARIO!C426</f>
        <v>0</v>
      </c>
      <c r="D425" s="3">
        <f>CONTROLE_DIARIO!D426</f>
        <v>0</v>
      </c>
      <c r="E425" s="3">
        <f>CONTROLE_DIARIO!E426</f>
        <v>0</v>
      </c>
      <c r="F425" s="3">
        <f>CONTROLE_DIARIO!F426</f>
        <v>0</v>
      </c>
      <c r="G425" s="3">
        <f>CONTROLE_DIARIO!G426</f>
        <v>0</v>
      </c>
      <c r="H425" s="3">
        <f>CONTROLE_DIARIO!H426</f>
        <v>0</v>
      </c>
      <c r="I425" s="3">
        <f>CONTROLE_DIARIO!I426</f>
        <v>0</v>
      </c>
      <c r="J425" s="3" t="str">
        <f>CONTROLE_DIARIO!J426</f>
        <v/>
      </c>
      <c r="K425" s="3" t="str">
        <f>CONTROLE_DIARIO!K426</f>
        <v/>
      </c>
      <c r="L425" s="51">
        <f>CONTROLE_DIARIO!L426</f>
        <v>0</v>
      </c>
      <c r="M425" s="51">
        <f>CONTROLE_DIARIO!M426</f>
        <v>0</v>
      </c>
      <c r="N425" s="3">
        <f>CONTROLE_DIARIO!N426</f>
        <v>0</v>
      </c>
      <c r="O425" s="3" t="str">
        <f>CONTROLE_DIARIO!O426</f>
        <v/>
      </c>
      <c r="P425" s="51" t="str">
        <f>CONTROLE_DIARIO!P426</f>
        <v/>
      </c>
      <c r="Q425" s="6">
        <f t="shared" si="47"/>
        <v>0</v>
      </c>
      <c r="R425" s="54" t="str">
        <f t="shared" si="48"/>
        <v>OK</v>
      </c>
      <c r="S425" s="3" t="str">
        <f t="shared" si="49"/>
        <v>jan/yy</v>
      </c>
      <c r="T425" s="3">
        <f t="shared" si="50"/>
        <v>1</v>
      </c>
      <c r="U425" s="3">
        <f t="shared" si="51"/>
        <v>1900</v>
      </c>
      <c r="V425" s="6">
        <f t="shared" si="52"/>
        <v>0</v>
      </c>
      <c r="W425" s="3" t="str">
        <f t="shared" si="53"/>
        <v>CRÍTICO</v>
      </c>
    </row>
    <row r="426" spans="1:23" x14ac:dyDescent="0.25">
      <c r="A426" s="2">
        <f>CONTROLE_DIARIO!A427</f>
        <v>0</v>
      </c>
      <c r="B426" s="51">
        <f>CONTROLE_DIARIO!B427</f>
        <v>0</v>
      </c>
      <c r="C426" s="3">
        <f>CONTROLE_DIARIO!C427</f>
        <v>0</v>
      </c>
      <c r="D426" s="3">
        <f>CONTROLE_DIARIO!D427</f>
        <v>0</v>
      </c>
      <c r="E426" s="3">
        <f>CONTROLE_DIARIO!E427</f>
        <v>0</v>
      </c>
      <c r="F426" s="3">
        <f>CONTROLE_DIARIO!F427</f>
        <v>0</v>
      </c>
      <c r="G426" s="3">
        <f>CONTROLE_DIARIO!G427</f>
        <v>0</v>
      </c>
      <c r="H426" s="3">
        <f>CONTROLE_DIARIO!H427</f>
        <v>0</v>
      </c>
      <c r="I426" s="3">
        <f>CONTROLE_DIARIO!I427</f>
        <v>0</v>
      </c>
      <c r="J426" s="3" t="str">
        <f>CONTROLE_DIARIO!J427</f>
        <v/>
      </c>
      <c r="K426" s="3" t="str">
        <f>CONTROLE_DIARIO!K427</f>
        <v/>
      </c>
      <c r="L426" s="51">
        <f>CONTROLE_DIARIO!L427</f>
        <v>0</v>
      </c>
      <c r="M426" s="51">
        <f>CONTROLE_DIARIO!M427</f>
        <v>0</v>
      </c>
      <c r="N426" s="3">
        <f>CONTROLE_DIARIO!N427</f>
        <v>0</v>
      </c>
      <c r="O426" s="3" t="str">
        <f>CONTROLE_DIARIO!O427</f>
        <v/>
      </c>
      <c r="P426" s="51" t="str">
        <f>CONTROLE_DIARIO!P427</f>
        <v/>
      </c>
      <c r="Q426" s="6">
        <f t="shared" si="47"/>
        <v>0</v>
      </c>
      <c r="R426" s="54" t="str">
        <f t="shared" si="48"/>
        <v>OK</v>
      </c>
      <c r="S426" s="3" t="str">
        <f t="shared" si="49"/>
        <v>jan/yy</v>
      </c>
      <c r="T426" s="3">
        <f t="shared" si="50"/>
        <v>1</v>
      </c>
      <c r="U426" s="3">
        <f t="shared" si="51"/>
        <v>1900</v>
      </c>
      <c r="V426" s="6">
        <f t="shared" si="52"/>
        <v>0</v>
      </c>
      <c r="W426" s="3" t="str">
        <f t="shared" si="53"/>
        <v>CRÍTICO</v>
      </c>
    </row>
    <row r="427" spans="1:23" x14ac:dyDescent="0.25">
      <c r="A427" s="2">
        <f>CONTROLE_DIARIO!A428</f>
        <v>0</v>
      </c>
      <c r="B427" s="51">
        <f>CONTROLE_DIARIO!B428</f>
        <v>0</v>
      </c>
      <c r="C427" s="3">
        <f>CONTROLE_DIARIO!C428</f>
        <v>0</v>
      </c>
      <c r="D427" s="3">
        <f>CONTROLE_DIARIO!D428</f>
        <v>0</v>
      </c>
      <c r="E427" s="3">
        <f>CONTROLE_DIARIO!E428</f>
        <v>0</v>
      </c>
      <c r="F427" s="3">
        <f>CONTROLE_DIARIO!F428</f>
        <v>0</v>
      </c>
      <c r="G427" s="3">
        <f>CONTROLE_DIARIO!G428</f>
        <v>0</v>
      </c>
      <c r="H427" s="3">
        <f>CONTROLE_DIARIO!H428</f>
        <v>0</v>
      </c>
      <c r="I427" s="3">
        <f>CONTROLE_DIARIO!I428</f>
        <v>0</v>
      </c>
      <c r="J427" s="3" t="str">
        <f>CONTROLE_DIARIO!J428</f>
        <v/>
      </c>
      <c r="K427" s="3" t="str">
        <f>CONTROLE_DIARIO!K428</f>
        <v/>
      </c>
      <c r="L427" s="51">
        <f>CONTROLE_DIARIO!L428</f>
        <v>0</v>
      </c>
      <c r="M427" s="51">
        <f>CONTROLE_DIARIO!M428</f>
        <v>0</v>
      </c>
      <c r="N427" s="3">
        <f>CONTROLE_DIARIO!N428</f>
        <v>0</v>
      </c>
      <c r="O427" s="3" t="str">
        <f>CONTROLE_DIARIO!O428</f>
        <v/>
      </c>
      <c r="P427" s="51" t="str">
        <f>CONTROLE_DIARIO!P428</f>
        <v/>
      </c>
      <c r="Q427" s="6">
        <f t="shared" si="47"/>
        <v>0</v>
      </c>
      <c r="R427" s="54" t="str">
        <f t="shared" si="48"/>
        <v>OK</v>
      </c>
      <c r="S427" s="3" t="str">
        <f t="shared" si="49"/>
        <v>jan/yy</v>
      </c>
      <c r="T427" s="3">
        <f t="shared" si="50"/>
        <v>1</v>
      </c>
      <c r="U427" s="3">
        <f t="shared" si="51"/>
        <v>1900</v>
      </c>
      <c r="V427" s="6">
        <f t="shared" si="52"/>
        <v>0</v>
      </c>
      <c r="W427" s="3" t="str">
        <f t="shared" si="53"/>
        <v>CRÍTICO</v>
      </c>
    </row>
    <row r="428" spans="1:23" x14ac:dyDescent="0.25">
      <c r="A428" s="2">
        <f>CONTROLE_DIARIO!A429</f>
        <v>0</v>
      </c>
      <c r="B428" s="51">
        <f>CONTROLE_DIARIO!B429</f>
        <v>0</v>
      </c>
      <c r="C428" s="3">
        <f>CONTROLE_DIARIO!C429</f>
        <v>0</v>
      </c>
      <c r="D428" s="3">
        <f>CONTROLE_DIARIO!D429</f>
        <v>0</v>
      </c>
      <c r="E428" s="3">
        <f>CONTROLE_DIARIO!E429</f>
        <v>0</v>
      </c>
      <c r="F428" s="3">
        <f>CONTROLE_DIARIO!F429</f>
        <v>0</v>
      </c>
      <c r="G428" s="3">
        <f>CONTROLE_DIARIO!G429</f>
        <v>0</v>
      </c>
      <c r="H428" s="3">
        <f>CONTROLE_DIARIO!H429</f>
        <v>0</v>
      </c>
      <c r="I428" s="3">
        <f>CONTROLE_DIARIO!I429</f>
        <v>0</v>
      </c>
      <c r="J428" s="3" t="str">
        <f>CONTROLE_DIARIO!J429</f>
        <v/>
      </c>
      <c r="K428" s="3" t="str">
        <f>CONTROLE_DIARIO!K429</f>
        <v/>
      </c>
      <c r="L428" s="51">
        <f>CONTROLE_DIARIO!L429</f>
        <v>0</v>
      </c>
      <c r="M428" s="51">
        <f>CONTROLE_DIARIO!M429</f>
        <v>0</v>
      </c>
      <c r="N428" s="3">
        <f>CONTROLE_DIARIO!N429</f>
        <v>0</v>
      </c>
      <c r="O428" s="3" t="str">
        <f>CONTROLE_DIARIO!O429</f>
        <v/>
      </c>
      <c r="P428" s="51" t="str">
        <f>CONTROLE_DIARIO!P429</f>
        <v/>
      </c>
      <c r="Q428" s="6">
        <f t="shared" si="47"/>
        <v>0</v>
      </c>
      <c r="R428" s="54" t="str">
        <f t="shared" si="48"/>
        <v>OK</v>
      </c>
      <c r="S428" s="3" t="str">
        <f t="shared" si="49"/>
        <v>jan/yy</v>
      </c>
      <c r="T428" s="3">
        <f t="shared" si="50"/>
        <v>1</v>
      </c>
      <c r="U428" s="3">
        <f t="shared" si="51"/>
        <v>1900</v>
      </c>
      <c r="V428" s="6">
        <f t="shared" si="52"/>
        <v>0</v>
      </c>
      <c r="W428" s="3" t="str">
        <f t="shared" si="53"/>
        <v>CRÍTICO</v>
      </c>
    </row>
    <row r="429" spans="1:23" x14ac:dyDescent="0.25">
      <c r="A429" s="2">
        <f>CONTROLE_DIARIO!A430</f>
        <v>0</v>
      </c>
      <c r="B429" s="51">
        <f>CONTROLE_DIARIO!B430</f>
        <v>0</v>
      </c>
      <c r="C429" s="3">
        <f>CONTROLE_DIARIO!C430</f>
        <v>0</v>
      </c>
      <c r="D429" s="3">
        <f>CONTROLE_DIARIO!D430</f>
        <v>0</v>
      </c>
      <c r="E429" s="3">
        <f>CONTROLE_DIARIO!E430</f>
        <v>0</v>
      </c>
      <c r="F429" s="3">
        <f>CONTROLE_DIARIO!F430</f>
        <v>0</v>
      </c>
      <c r="G429" s="3">
        <f>CONTROLE_DIARIO!G430</f>
        <v>0</v>
      </c>
      <c r="H429" s="3">
        <f>CONTROLE_DIARIO!H430</f>
        <v>0</v>
      </c>
      <c r="I429" s="3">
        <f>CONTROLE_DIARIO!I430</f>
        <v>0</v>
      </c>
      <c r="J429" s="3" t="str">
        <f>CONTROLE_DIARIO!J430</f>
        <v/>
      </c>
      <c r="K429" s="3" t="str">
        <f>CONTROLE_DIARIO!K430</f>
        <v/>
      </c>
      <c r="L429" s="51">
        <f>CONTROLE_DIARIO!L430</f>
        <v>0</v>
      </c>
      <c r="M429" s="51">
        <f>CONTROLE_DIARIO!M430</f>
        <v>0</v>
      </c>
      <c r="N429" s="3">
        <f>CONTROLE_DIARIO!N430</f>
        <v>0</v>
      </c>
      <c r="O429" s="3" t="str">
        <f>CONTROLE_DIARIO!O430</f>
        <v/>
      </c>
      <c r="P429" s="51" t="str">
        <f>CONTROLE_DIARIO!P430</f>
        <v/>
      </c>
      <c r="Q429" s="6">
        <f t="shared" si="47"/>
        <v>0</v>
      </c>
      <c r="R429" s="54" t="str">
        <f t="shared" si="48"/>
        <v>OK</v>
      </c>
      <c r="S429" s="3" t="str">
        <f t="shared" si="49"/>
        <v>jan/yy</v>
      </c>
      <c r="T429" s="3">
        <f t="shared" si="50"/>
        <v>1</v>
      </c>
      <c r="U429" s="3">
        <f t="shared" si="51"/>
        <v>1900</v>
      </c>
      <c r="V429" s="6">
        <f t="shared" si="52"/>
        <v>0</v>
      </c>
      <c r="W429" s="3" t="str">
        <f t="shared" si="53"/>
        <v>CRÍTICO</v>
      </c>
    </row>
    <row r="430" spans="1:23" x14ac:dyDescent="0.25">
      <c r="A430" s="2">
        <f>CONTROLE_DIARIO!A431</f>
        <v>0</v>
      </c>
      <c r="B430" s="51">
        <f>CONTROLE_DIARIO!B431</f>
        <v>0</v>
      </c>
      <c r="C430" s="3">
        <f>CONTROLE_DIARIO!C431</f>
        <v>0</v>
      </c>
      <c r="D430" s="3">
        <f>CONTROLE_DIARIO!D431</f>
        <v>0</v>
      </c>
      <c r="E430" s="3">
        <f>CONTROLE_DIARIO!E431</f>
        <v>0</v>
      </c>
      <c r="F430" s="3">
        <f>CONTROLE_DIARIO!F431</f>
        <v>0</v>
      </c>
      <c r="G430" s="3">
        <f>CONTROLE_DIARIO!G431</f>
        <v>0</v>
      </c>
      <c r="H430" s="3">
        <f>CONTROLE_DIARIO!H431</f>
        <v>0</v>
      </c>
      <c r="I430" s="3">
        <f>CONTROLE_DIARIO!I431</f>
        <v>0</v>
      </c>
      <c r="J430" s="3" t="str">
        <f>CONTROLE_DIARIO!J431</f>
        <v/>
      </c>
      <c r="K430" s="3" t="str">
        <f>CONTROLE_DIARIO!K431</f>
        <v/>
      </c>
      <c r="L430" s="51">
        <f>CONTROLE_DIARIO!L431</f>
        <v>0</v>
      </c>
      <c r="M430" s="51">
        <f>CONTROLE_DIARIO!M431</f>
        <v>0</v>
      </c>
      <c r="N430" s="3">
        <f>CONTROLE_DIARIO!N431</f>
        <v>0</v>
      </c>
      <c r="O430" s="3" t="str">
        <f>CONTROLE_DIARIO!O431</f>
        <v/>
      </c>
      <c r="P430" s="51" t="str">
        <f>CONTROLE_DIARIO!P431</f>
        <v/>
      </c>
      <c r="Q430" s="6">
        <f t="shared" si="47"/>
        <v>0</v>
      </c>
      <c r="R430" s="54" t="str">
        <f t="shared" si="48"/>
        <v>OK</v>
      </c>
      <c r="S430" s="3" t="str">
        <f t="shared" si="49"/>
        <v>jan/yy</v>
      </c>
      <c r="T430" s="3">
        <f t="shared" si="50"/>
        <v>1</v>
      </c>
      <c r="U430" s="3">
        <f t="shared" si="51"/>
        <v>1900</v>
      </c>
      <c r="V430" s="6">
        <f t="shared" si="52"/>
        <v>0</v>
      </c>
      <c r="W430" s="3" t="str">
        <f t="shared" si="53"/>
        <v>CRÍTICO</v>
      </c>
    </row>
    <row r="431" spans="1:23" x14ac:dyDescent="0.25">
      <c r="A431" s="2">
        <f>CONTROLE_DIARIO!A432</f>
        <v>0</v>
      </c>
      <c r="B431" s="51">
        <f>CONTROLE_DIARIO!B432</f>
        <v>0</v>
      </c>
      <c r="C431" s="3">
        <f>CONTROLE_DIARIO!C432</f>
        <v>0</v>
      </c>
      <c r="D431" s="3">
        <f>CONTROLE_DIARIO!D432</f>
        <v>0</v>
      </c>
      <c r="E431" s="3">
        <f>CONTROLE_DIARIO!E432</f>
        <v>0</v>
      </c>
      <c r="F431" s="3">
        <f>CONTROLE_DIARIO!F432</f>
        <v>0</v>
      </c>
      <c r="G431" s="3">
        <f>CONTROLE_DIARIO!G432</f>
        <v>0</v>
      </c>
      <c r="H431" s="3">
        <f>CONTROLE_DIARIO!H432</f>
        <v>0</v>
      </c>
      <c r="I431" s="3">
        <f>CONTROLE_DIARIO!I432</f>
        <v>0</v>
      </c>
      <c r="J431" s="3" t="str">
        <f>CONTROLE_DIARIO!J432</f>
        <v/>
      </c>
      <c r="K431" s="3" t="str">
        <f>CONTROLE_DIARIO!K432</f>
        <v/>
      </c>
      <c r="L431" s="51">
        <f>CONTROLE_DIARIO!L432</f>
        <v>0</v>
      </c>
      <c r="M431" s="51">
        <f>CONTROLE_DIARIO!M432</f>
        <v>0</v>
      </c>
      <c r="N431" s="3">
        <f>CONTROLE_DIARIO!N432</f>
        <v>0</v>
      </c>
      <c r="O431" s="3" t="str">
        <f>CONTROLE_DIARIO!O432</f>
        <v/>
      </c>
      <c r="P431" s="51" t="str">
        <f>CONTROLE_DIARIO!P432</f>
        <v/>
      </c>
      <c r="Q431" s="6">
        <f t="shared" si="47"/>
        <v>0</v>
      </c>
      <c r="R431" s="54" t="str">
        <f t="shared" si="48"/>
        <v>OK</v>
      </c>
      <c r="S431" s="3" t="str">
        <f t="shared" si="49"/>
        <v>jan/yy</v>
      </c>
      <c r="T431" s="3">
        <f t="shared" si="50"/>
        <v>1</v>
      </c>
      <c r="U431" s="3">
        <f t="shared" si="51"/>
        <v>1900</v>
      </c>
      <c r="V431" s="6">
        <f t="shared" si="52"/>
        <v>0</v>
      </c>
      <c r="W431" s="3" t="str">
        <f t="shared" si="53"/>
        <v>CRÍTICO</v>
      </c>
    </row>
    <row r="432" spans="1:23" x14ac:dyDescent="0.25">
      <c r="A432" s="2">
        <f>CONTROLE_DIARIO!A433</f>
        <v>0</v>
      </c>
      <c r="B432" s="51">
        <f>CONTROLE_DIARIO!B433</f>
        <v>0</v>
      </c>
      <c r="C432" s="3">
        <f>CONTROLE_DIARIO!C433</f>
        <v>0</v>
      </c>
      <c r="D432" s="3">
        <f>CONTROLE_DIARIO!D433</f>
        <v>0</v>
      </c>
      <c r="E432" s="3">
        <f>CONTROLE_DIARIO!E433</f>
        <v>0</v>
      </c>
      <c r="F432" s="3">
        <f>CONTROLE_DIARIO!F433</f>
        <v>0</v>
      </c>
      <c r="G432" s="3">
        <f>CONTROLE_DIARIO!G433</f>
        <v>0</v>
      </c>
      <c r="H432" s="3">
        <f>CONTROLE_DIARIO!H433</f>
        <v>0</v>
      </c>
      <c r="I432" s="3">
        <f>CONTROLE_DIARIO!I433</f>
        <v>0</v>
      </c>
      <c r="J432" s="3" t="str">
        <f>CONTROLE_DIARIO!J433</f>
        <v/>
      </c>
      <c r="K432" s="3" t="str">
        <f>CONTROLE_DIARIO!K433</f>
        <v/>
      </c>
      <c r="L432" s="51">
        <f>CONTROLE_DIARIO!L433</f>
        <v>0</v>
      </c>
      <c r="M432" s="51">
        <f>CONTROLE_DIARIO!M433</f>
        <v>0</v>
      </c>
      <c r="N432" s="3">
        <f>CONTROLE_DIARIO!N433</f>
        <v>0</v>
      </c>
      <c r="O432" s="3" t="str">
        <f>CONTROLE_DIARIO!O433</f>
        <v/>
      </c>
      <c r="P432" s="51" t="str">
        <f>CONTROLE_DIARIO!P433</f>
        <v/>
      </c>
      <c r="Q432" s="6">
        <f t="shared" si="47"/>
        <v>0</v>
      </c>
      <c r="R432" s="54" t="str">
        <f t="shared" si="48"/>
        <v>OK</v>
      </c>
      <c r="S432" s="3" t="str">
        <f t="shared" si="49"/>
        <v>jan/yy</v>
      </c>
      <c r="T432" s="3">
        <f t="shared" si="50"/>
        <v>1</v>
      </c>
      <c r="U432" s="3">
        <f t="shared" si="51"/>
        <v>1900</v>
      </c>
      <c r="V432" s="6">
        <f t="shared" si="52"/>
        <v>0</v>
      </c>
      <c r="W432" s="3" t="str">
        <f t="shared" si="53"/>
        <v>CRÍTICO</v>
      </c>
    </row>
    <row r="433" spans="1:23" x14ac:dyDescent="0.25">
      <c r="A433" s="2">
        <f>CONTROLE_DIARIO!A434</f>
        <v>0</v>
      </c>
      <c r="B433" s="51">
        <f>CONTROLE_DIARIO!B434</f>
        <v>0</v>
      </c>
      <c r="C433" s="3">
        <f>CONTROLE_DIARIO!C434</f>
        <v>0</v>
      </c>
      <c r="D433" s="3">
        <f>CONTROLE_DIARIO!D434</f>
        <v>0</v>
      </c>
      <c r="E433" s="3">
        <f>CONTROLE_DIARIO!E434</f>
        <v>0</v>
      </c>
      <c r="F433" s="3">
        <f>CONTROLE_DIARIO!F434</f>
        <v>0</v>
      </c>
      <c r="G433" s="3">
        <f>CONTROLE_DIARIO!G434</f>
        <v>0</v>
      </c>
      <c r="H433" s="3">
        <f>CONTROLE_DIARIO!H434</f>
        <v>0</v>
      </c>
      <c r="I433" s="3">
        <f>CONTROLE_DIARIO!I434</f>
        <v>0</v>
      </c>
      <c r="J433" s="3" t="str">
        <f>CONTROLE_DIARIO!J434</f>
        <v/>
      </c>
      <c r="K433" s="3" t="str">
        <f>CONTROLE_DIARIO!K434</f>
        <v/>
      </c>
      <c r="L433" s="51">
        <f>CONTROLE_DIARIO!L434</f>
        <v>0</v>
      </c>
      <c r="M433" s="51">
        <f>CONTROLE_DIARIO!M434</f>
        <v>0</v>
      </c>
      <c r="N433" s="3">
        <f>CONTROLE_DIARIO!N434</f>
        <v>0</v>
      </c>
      <c r="O433" s="3" t="str">
        <f>CONTROLE_DIARIO!O434</f>
        <v/>
      </c>
      <c r="P433" s="51" t="str">
        <f>CONTROLE_DIARIO!P434</f>
        <v/>
      </c>
      <c r="Q433" s="6">
        <f t="shared" si="47"/>
        <v>0</v>
      </c>
      <c r="R433" s="54" t="str">
        <f t="shared" si="48"/>
        <v>OK</v>
      </c>
      <c r="S433" s="3" t="str">
        <f t="shared" si="49"/>
        <v>jan/yy</v>
      </c>
      <c r="T433" s="3">
        <f t="shared" si="50"/>
        <v>1</v>
      </c>
      <c r="U433" s="3">
        <f t="shared" si="51"/>
        <v>1900</v>
      </c>
      <c r="V433" s="6">
        <f t="shared" si="52"/>
        <v>0</v>
      </c>
      <c r="W433" s="3" t="str">
        <f t="shared" si="53"/>
        <v>CRÍTICO</v>
      </c>
    </row>
    <row r="434" spans="1:23" x14ac:dyDescent="0.25">
      <c r="A434" s="2">
        <f>CONTROLE_DIARIO!A435</f>
        <v>0</v>
      </c>
      <c r="B434" s="51">
        <f>CONTROLE_DIARIO!B435</f>
        <v>0</v>
      </c>
      <c r="C434" s="3">
        <f>CONTROLE_DIARIO!C435</f>
        <v>0</v>
      </c>
      <c r="D434" s="3">
        <f>CONTROLE_DIARIO!D435</f>
        <v>0</v>
      </c>
      <c r="E434" s="3">
        <f>CONTROLE_DIARIO!E435</f>
        <v>0</v>
      </c>
      <c r="F434" s="3">
        <f>CONTROLE_DIARIO!F435</f>
        <v>0</v>
      </c>
      <c r="G434" s="3">
        <f>CONTROLE_DIARIO!G435</f>
        <v>0</v>
      </c>
      <c r="H434" s="3">
        <f>CONTROLE_DIARIO!H435</f>
        <v>0</v>
      </c>
      <c r="I434" s="3">
        <f>CONTROLE_DIARIO!I435</f>
        <v>0</v>
      </c>
      <c r="J434" s="3" t="str">
        <f>CONTROLE_DIARIO!J435</f>
        <v/>
      </c>
      <c r="K434" s="3" t="str">
        <f>CONTROLE_DIARIO!K435</f>
        <v/>
      </c>
      <c r="L434" s="51">
        <f>CONTROLE_DIARIO!L435</f>
        <v>0</v>
      </c>
      <c r="M434" s="51">
        <f>CONTROLE_DIARIO!M435</f>
        <v>0</v>
      </c>
      <c r="N434" s="3">
        <f>CONTROLE_DIARIO!N435</f>
        <v>0</v>
      </c>
      <c r="O434" s="3" t="str">
        <f>CONTROLE_DIARIO!O435</f>
        <v/>
      </c>
      <c r="P434" s="51" t="str">
        <f>CONTROLE_DIARIO!P435</f>
        <v/>
      </c>
      <c r="Q434" s="6">
        <f t="shared" si="47"/>
        <v>0</v>
      </c>
      <c r="R434" s="54" t="str">
        <f t="shared" si="48"/>
        <v>OK</v>
      </c>
      <c r="S434" s="3" t="str">
        <f t="shared" si="49"/>
        <v>jan/yy</v>
      </c>
      <c r="T434" s="3">
        <f t="shared" si="50"/>
        <v>1</v>
      </c>
      <c r="U434" s="3">
        <f t="shared" si="51"/>
        <v>1900</v>
      </c>
      <c r="V434" s="6">
        <f t="shared" si="52"/>
        <v>0</v>
      </c>
      <c r="W434" s="3" t="str">
        <f t="shared" si="53"/>
        <v>CRÍTICO</v>
      </c>
    </row>
    <row r="435" spans="1:23" x14ac:dyDescent="0.25">
      <c r="A435" s="2">
        <f>CONTROLE_DIARIO!A436</f>
        <v>0</v>
      </c>
      <c r="B435" s="51">
        <f>CONTROLE_DIARIO!B436</f>
        <v>0</v>
      </c>
      <c r="C435" s="3">
        <f>CONTROLE_DIARIO!C436</f>
        <v>0</v>
      </c>
      <c r="D435" s="3">
        <f>CONTROLE_DIARIO!D436</f>
        <v>0</v>
      </c>
      <c r="E435" s="3">
        <f>CONTROLE_DIARIO!E436</f>
        <v>0</v>
      </c>
      <c r="F435" s="3">
        <f>CONTROLE_DIARIO!F436</f>
        <v>0</v>
      </c>
      <c r="G435" s="3">
        <f>CONTROLE_DIARIO!G436</f>
        <v>0</v>
      </c>
      <c r="H435" s="3">
        <f>CONTROLE_DIARIO!H436</f>
        <v>0</v>
      </c>
      <c r="I435" s="3">
        <f>CONTROLE_DIARIO!I436</f>
        <v>0</v>
      </c>
      <c r="J435" s="3" t="str">
        <f>CONTROLE_DIARIO!J436</f>
        <v/>
      </c>
      <c r="K435" s="3" t="str">
        <f>CONTROLE_DIARIO!K436</f>
        <v/>
      </c>
      <c r="L435" s="51">
        <f>CONTROLE_DIARIO!L436</f>
        <v>0</v>
      </c>
      <c r="M435" s="51">
        <f>CONTROLE_DIARIO!M436</f>
        <v>0</v>
      </c>
      <c r="N435" s="3">
        <f>CONTROLE_DIARIO!N436</f>
        <v>0</v>
      </c>
      <c r="O435" s="3" t="str">
        <f>CONTROLE_DIARIO!O436</f>
        <v/>
      </c>
      <c r="P435" s="51" t="str">
        <f>CONTROLE_DIARIO!P436</f>
        <v/>
      </c>
      <c r="Q435" s="6">
        <f t="shared" si="47"/>
        <v>0</v>
      </c>
      <c r="R435" s="54" t="str">
        <f t="shared" si="48"/>
        <v>OK</v>
      </c>
      <c r="S435" s="3" t="str">
        <f t="shared" si="49"/>
        <v>jan/yy</v>
      </c>
      <c r="T435" s="3">
        <f t="shared" si="50"/>
        <v>1</v>
      </c>
      <c r="U435" s="3">
        <f t="shared" si="51"/>
        <v>1900</v>
      </c>
      <c r="V435" s="6">
        <f t="shared" si="52"/>
        <v>0</v>
      </c>
      <c r="W435" s="3" t="str">
        <f t="shared" si="53"/>
        <v>CRÍTICO</v>
      </c>
    </row>
    <row r="436" spans="1:23" x14ac:dyDescent="0.25">
      <c r="A436" s="2">
        <f>CONTROLE_DIARIO!A437</f>
        <v>0</v>
      </c>
      <c r="B436" s="51">
        <f>CONTROLE_DIARIO!B437</f>
        <v>0</v>
      </c>
      <c r="C436" s="3">
        <f>CONTROLE_DIARIO!C437</f>
        <v>0</v>
      </c>
      <c r="D436" s="3">
        <f>CONTROLE_DIARIO!D437</f>
        <v>0</v>
      </c>
      <c r="E436" s="3">
        <f>CONTROLE_DIARIO!E437</f>
        <v>0</v>
      </c>
      <c r="F436" s="3">
        <f>CONTROLE_DIARIO!F437</f>
        <v>0</v>
      </c>
      <c r="G436" s="3">
        <f>CONTROLE_DIARIO!G437</f>
        <v>0</v>
      </c>
      <c r="H436" s="3">
        <f>CONTROLE_DIARIO!H437</f>
        <v>0</v>
      </c>
      <c r="I436" s="3">
        <f>CONTROLE_DIARIO!I437</f>
        <v>0</v>
      </c>
      <c r="J436" s="3" t="str">
        <f>CONTROLE_DIARIO!J437</f>
        <v/>
      </c>
      <c r="K436" s="3" t="str">
        <f>CONTROLE_DIARIO!K437</f>
        <v/>
      </c>
      <c r="L436" s="51">
        <f>CONTROLE_DIARIO!L437</f>
        <v>0</v>
      </c>
      <c r="M436" s="51">
        <f>CONTROLE_DIARIO!M437</f>
        <v>0</v>
      </c>
      <c r="N436" s="3">
        <f>CONTROLE_DIARIO!N437</f>
        <v>0</v>
      </c>
      <c r="O436" s="3" t="str">
        <f>CONTROLE_DIARIO!O437</f>
        <v/>
      </c>
      <c r="P436" s="51" t="str">
        <f>CONTROLE_DIARIO!P437</f>
        <v/>
      </c>
      <c r="Q436" s="6">
        <f t="shared" si="47"/>
        <v>0</v>
      </c>
      <c r="R436" s="54" t="str">
        <f t="shared" si="48"/>
        <v>OK</v>
      </c>
      <c r="S436" s="3" t="str">
        <f t="shared" si="49"/>
        <v>jan/yy</v>
      </c>
      <c r="T436" s="3">
        <f t="shared" si="50"/>
        <v>1</v>
      </c>
      <c r="U436" s="3">
        <f t="shared" si="51"/>
        <v>1900</v>
      </c>
      <c r="V436" s="6">
        <f t="shared" si="52"/>
        <v>0</v>
      </c>
      <c r="W436" s="3" t="str">
        <f t="shared" si="53"/>
        <v>CRÍTICO</v>
      </c>
    </row>
    <row r="437" spans="1:23" x14ac:dyDescent="0.25">
      <c r="A437" s="2">
        <f>CONTROLE_DIARIO!A438</f>
        <v>0</v>
      </c>
      <c r="B437" s="51">
        <f>CONTROLE_DIARIO!B438</f>
        <v>0</v>
      </c>
      <c r="C437" s="3">
        <f>CONTROLE_DIARIO!C438</f>
        <v>0</v>
      </c>
      <c r="D437" s="3">
        <f>CONTROLE_DIARIO!D438</f>
        <v>0</v>
      </c>
      <c r="E437" s="3">
        <f>CONTROLE_DIARIO!E438</f>
        <v>0</v>
      </c>
      <c r="F437" s="3">
        <f>CONTROLE_DIARIO!F438</f>
        <v>0</v>
      </c>
      <c r="G437" s="3">
        <f>CONTROLE_DIARIO!G438</f>
        <v>0</v>
      </c>
      <c r="H437" s="3">
        <f>CONTROLE_DIARIO!H438</f>
        <v>0</v>
      </c>
      <c r="I437" s="3">
        <f>CONTROLE_DIARIO!I438</f>
        <v>0</v>
      </c>
      <c r="J437" s="3" t="str">
        <f>CONTROLE_DIARIO!J438</f>
        <v/>
      </c>
      <c r="K437" s="3" t="str">
        <f>CONTROLE_DIARIO!K438</f>
        <v/>
      </c>
      <c r="L437" s="51">
        <f>CONTROLE_DIARIO!L438</f>
        <v>0</v>
      </c>
      <c r="M437" s="51">
        <f>CONTROLE_DIARIO!M438</f>
        <v>0</v>
      </c>
      <c r="N437" s="3">
        <f>CONTROLE_DIARIO!N438</f>
        <v>0</v>
      </c>
      <c r="O437" s="3" t="str">
        <f>CONTROLE_DIARIO!O438</f>
        <v/>
      </c>
      <c r="P437" s="51" t="str">
        <f>CONTROLE_DIARIO!P438</f>
        <v/>
      </c>
      <c r="Q437" s="6">
        <f t="shared" si="47"/>
        <v>0</v>
      </c>
      <c r="R437" s="54" t="str">
        <f t="shared" si="48"/>
        <v>OK</v>
      </c>
      <c r="S437" s="3" t="str">
        <f t="shared" si="49"/>
        <v>jan/yy</v>
      </c>
      <c r="T437" s="3">
        <f t="shared" si="50"/>
        <v>1</v>
      </c>
      <c r="U437" s="3">
        <f t="shared" si="51"/>
        <v>1900</v>
      </c>
      <c r="V437" s="6">
        <f t="shared" si="52"/>
        <v>0</v>
      </c>
      <c r="W437" s="3" t="str">
        <f t="shared" si="53"/>
        <v>CRÍTICO</v>
      </c>
    </row>
    <row r="438" spans="1:23" x14ac:dyDescent="0.25">
      <c r="A438" s="2">
        <f>CONTROLE_DIARIO!A439</f>
        <v>0</v>
      </c>
      <c r="B438" s="51">
        <f>CONTROLE_DIARIO!B439</f>
        <v>0</v>
      </c>
      <c r="C438" s="3">
        <f>CONTROLE_DIARIO!C439</f>
        <v>0</v>
      </c>
      <c r="D438" s="3">
        <f>CONTROLE_DIARIO!D439</f>
        <v>0</v>
      </c>
      <c r="E438" s="3">
        <f>CONTROLE_DIARIO!E439</f>
        <v>0</v>
      </c>
      <c r="F438" s="3">
        <f>CONTROLE_DIARIO!F439</f>
        <v>0</v>
      </c>
      <c r="G438" s="3">
        <f>CONTROLE_DIARIO!G439</f>
        <v>0</v>
      </c>
      <c r="H438" s="3">
        <f>CONTROLE_DIARIO!H439</f>
        <v>0</v>
      </c>
      <c r="I438" s="3">
        <f>CONTROLE_DIARIO!I439</f>
        <v>0</v>
      </c>
      <c r="J438" s="3" t="str">
        <f>CONTROLE_DIARIO!J439</f>
        <v/>
      </c>
      <c r="K438" s="3" t="str">
        <f>CONTROLE_DIARIO!K439</f>
        <v/>
      </c>
      <c r="L438" s="51">
        <f>CONTROLE_DIARIO!L439</f>
        <v>0</v>
      </c>
      <c r="M438" s="51">
        <f>CONTROLE_DIARIO!M439</f>
        <v>0</v>
      </c>
      <c r="N438" s="3">
        <f>CONTROLE_DIARIO!N439</f>
        <v>0</v>
      </c>
      <c r="O438" s="3" t="str">
        <f>CONTROLE_DIARIO!O439</f>
        <v/>
      </c>
      <c r="P438" s="51" t="str">
        <f>CONTROLE_DIARIO!P439</f>
        <v/>
      </c>
      <c r="Q438" s="6">
        <f t="shared" si="47"/>
        <v>0</v>
      </c>
      <c r="R438" s="54" t="str">
        <f t="shared" si="48"/>
        <v>OK</v>
      </c>
      <c r="S438" s="3" t="str">
        <f t="shared" si="49"/>
        <v>jan/yy</v>
      </c>
      <c r="T438" s="3">
        <f t="shared" si="50"/>
        <v>1</v>
      </c>
      <c r="U438" s="3">
        <f t="shared" si="51"/>
        <v>1900</v>
      </c>
      <c r="V438" s="6">
        <f t="shared" si="52"/>
        <v>0</v>
      </c>
      <c r="W438" s="3" t="str">
        <f t="shared" si="53"/>
        <v>CRÍTICO</v>
      </c>
    </row>
    <row r="439" spans="1:23" x14ac:dyDescent="0.25">
      <c r="A439" s="2">
        <f>CONTROLE_DIARIO!A440</f>
        <v>0</v>
      </c>
      <c r="B439" s="51">
        <f>CONTROLE_DIARIO!B440</f>
        <v>0</v>
      </c>
      <c r="C439" s="3">
        <f>CONTROLE_DIARIO!C440</f>
        <v>0</v>
      </c>
      <c r="D439" s="3">
        <f>CONTROLE_DIARIO!D440</f>
        <v>0</v>
      </c>
      <c r="E439" s="3">
        <f>CONTROLE_DIARIO!E440</f>
        <v>0</v>
      </c>
      <c r="F439" s="3">
        <f>CONTROLE_DIARIO!F440</f>
        <v>0</v>
      </c>
      <c r="G439" s="3">
        <f>CONTROLE_DIARIO!G440</f>
        <v>0</v>
      </c>
      <c r="H439" s="3">
        <f>CONTROLE_DIARIO!H440</f>
        <v>0</v>
      </c>
      <c r="I439" s="3">
        <f>CONTROLE_DIARIO!I440</f>
        <v>0</v>
      </c>
      <c r="J439" s="3" t="str">
        <f>CONTROLE_DIARIO!J440</f>
        <v/>
      </c>
      <c r="K439" s="3" t="str">
        <f>CONTROLE_DIARIO!K440</f>
        <v/>
      </c>
      <c r="L439" s="51">
        <f>CONTROLE_DIARIO!L440</f>
        <v>0</v>
      </c>
      <c r="M439" s="51">
        <f>CONTROLE_DIARIO!M440</f>
        <v>0</v>
      </c>
      <c r="N439" s="3">
        <f>CONTROLE_DIARIO!N440</f>
        <v>0</v>
      </c>
      <c r="O439" s="3" t="str">
        <f>CONTROLE_DIARIO!O440</f>
        <v/>
      </c>
      <c r="P439" s="51" t="str">
        <f>CONTROLE_DIARIO!P440</f>
        <v/>
      </c>
      <c r="Q439" s="6">
        <f t="shared" si="47"/>
        <v>0</v>
      </c>
      <c r="R439" s="54" t="str">
        <f t="shared" si="48"/>
        <v>OK</v>
      </c>
      <c r="S439" s="3" t="str">
        <f t="shared" si="49"/>
        <v>jan/yy</v>
      </c>
      <c r="T439" s="3">
        <f t="shared" si="50"/>
        <v>1</v>
      </c>
      <c r="U439" s="3">
        <f t="shared" si="51"/>
        <v>1900</v>
      </c>
      <c r="V439" s="6">
        <f t="shared" si="52"/>
        <v>0</v>
      </c>
      <c r="W439" s="3" t="str">
        <f t="shared" si="53"/>
        <v>CRÍTICO</v>
      </c>
    </row>
    <row r="440" spans="1:23" x14ac:dyDescent="0.25">
      <c r="A440" s="2">
        <f>CONTROLE_DIARIO!A441</f>
        <v>0</v>
      </c>
      <c r="B440" s="51">
        <f>CONTROLE_DIARIO!B441</f>
        <v>0</v>
      </c>
      <c r="C440" s="3">
        <f>CONTROLE_DIARIO!C441</f>
        <v>0</v>
      </c>
      <c r="D440" s="3">
        <f>CONTROLE_DIARIO!D441</f>
        <v>0</v>
      </c>
      <c r="E440" s="3">
        <f>CONTROLE_DIARIO!E441</f>
        <v>0</v>
      </c>
      <c r="F440" s="3">
        <f>CONTROLE_DIARIO!F441</f>
        <v>0</v>
      </c>
      <c r="G440" s="3">
        <f>CONTROLE_DIARIO!G441</f>
        <v>0</v>
      </c>
      <c r="H440" s="3">
        <f>CONTROLE_DIARIO!H441</f>
        <v>0</v>
      </c>
      <c r="I440" s="3">
        <f>CONTROLE_DIARIO!I441</f>
        <v>0</v>
      </c>
      <c r="J440" s="3" t="str">
        <f>CONTROLE_DIARIO!J441</f>
        <v/>
      </c>
      <c r="K440" s="3" t="str">
        <f>CONTROLE_DIARIO!K441</f>
        <v/>
      </c>
      <c r="L440" s="51">
        <f>CONTROLE_DIARIO!L441</f>
        <v>0</v>
      </c>
      <c r="M440" s="51">
        <f>CONTROLE_DIARIO!M441</f>
        <v>0</v>
      </c>
      <c r="N440" s="3">
        <f>CONTROLE_DIARIO!N441</f>
        <v>0</v>
      </c>
      <c r="O440" s="3" t="str">
        <f>CONTROLE_DIARIO!O441</f>
        <v/>
      </c>
      <c r="P440" s="51" t="str">
        <f>CONTROLE_DIARIO!P441</f>
        <v/>
      </c>
      <c r="Q440" s="6">
        <f t="shared" si="47"/>
        <v>0</v>
      </c>
      <c r="R440" s="54" t="str">
        <f t="shared" si="48"/>
        <v>OK</v>
      </c>
      <c r="S440" s="3" t="str">
        <f t="shared" si="49"/>
        <v>jan/yy</v>
      </c>
      <c r="T440" s="3">
        <f t="shared" si="50"/>
        <v>1</v>
      </c>
      <c r="U440" s="3">
        <f t="shared" si="51"/>
        <v>1900</v>
      </c>
      <c r="V440" s="6">
        <f t="shared" si="52"/>
        <v>0</v>
      </c>
      <c r="W440" s="3" t="str">
        <f t="shared" si="53"/>
        <v>CRÍTICO</v>
      </c>
    </row>
    <row r="441" spans="1:23" x14ac:dyDescent="0.25">
      <c r="A441" s="2">
        <f>CONTROLE_DIARIO!A442</f>
        <v>0</v>
      </c>
      <c r="B441" s="51">
        <f>CONTROLE_DIARIO!B442</f>
        <v>0</v>
      </c>
      <c r="C441" s="3">
        <f>CONTROLE_DIARIO!C442</f>
        <v>0</v>
      </c>
      <c r="D441" s="3">
        <f>CONTROLE_DIARIO!D442</f>
        <v>0</v>
      </c>
      <c r="E441" s="3">
        <f>CONTROLE_DIARIO!E442</f>
        <v>0</v>
      </c>
      <c r="F441" s="3">
        <f>CONTROLE_DIARIO!F442</f>
        <v>0</v>
      </c>
      <c r="G441" s="3">
        <f>CONTROLE_DIARIO!G442</f>
        <v>0</v>
      </c>
      <c r="H441" s="3">
        <f>CONTROLE_DIARIO!H442</f>
        <v>0</v>
      </c>
      <c r="I441" s="3">
        <f>CONTROLE_DIARIO!I442</f>
        <v>0</v>
      </c>
      <c r="J441" s="3" t="str">
        <f>CONTROLE_DIARIO!J442</f>
        <v/>
      </c>
      <c r="K441" s="3" t="str">
        <f>CONTROLE_DIARIO!K442</f>
        <v/>
      </c>
      <c r="L441" s="51">
        <f>CONTROLE_DIARIO!L442</f>
        <v>0</v>
      </c>
      <c r="M441" s="51">
        <f>CONTROLE_DIARIO!M442</f>
        <v>0</v>
      </c>
      <c r="N441" s="3">
        <f>CONTROLE_DIARIO!N442</f>
        <v>0</v>
      </c>
      <c r="O441" s="3" t="str">
        <f>CONTROLE_DIARIO!O442</f>
        <v/>
      </c>
      <c r="P441" s="51" t="str">
        <f>CONTROLE_DIARIO!P442</f>
        <v/>
      </c>
      <c r="Q441" s="6">
        <f t="shared" si="47"/>
        <v>0</v>
      </c>
      <c r="R441" s="54" t="str">
        <f t="shared" si="48"/>
        <v>OK</v>
      </c>
      <c r="S441" s="3" t="str">
        <f t="shared" si="49"/>
        <v>jan/yy</v>
      </c>
      <c r="T441" s="3">
        <f t="shared" si="50"/>
        <v>1</v>
      </c>
      <c r="U441" s="3">
        <f t="shared" si="51"/>
        <v>1900</v>
      </c>
      <c r="V441" s="6">
        <f t="shared" si="52"/>
        <v>0</v>
      </c>
      <c r="W441" s="3" t="str">
        <f t="shared" si="53"/>
        <v>CRÍTICO</v>
      </c>
    </row>
    <row r="442" spans="1:23" x14ac:dyDescent="0.25">
      <c r="A442" s="2">
        <f>CONTROLE_DIARIO!A443</f>
        <v>0</v>
      </c>
      <c r="B442" s="51">
        <f>CONTROLE_DIARIO!B443</f>
        <v>0</v>
      </c>
      <c r="C442" s="3">
        <f>CONTROLE_DIARIO!C443</f>
        <v>0</v>
      </c>
      <c r="D442" s="3">
        <f>CONTROLE_DIARIO!D443</f>
        <v>0</v>
      </c>
      <c r="E442" s="3">
        <f>CONTROLE_DIARIO!E443</f>
        <v>0</v>
      </c>
      <c r="F442" s="3">
        <f>CONTROLE_DIARIO!F443</f>
        <v>0</v>
      </c>
      <c r="G442" s="3">
        <f>CONTROLE_DIARIO!G443</f>
        <v>0</v>
      </c>
      <c r="H442" s="3">
        <f>CONTROLE_DIARIO!H443</f>
        <v>0</v>
      </c>
      <c r="I442" s="3">
        <f>CONTROLE_DIARIO!I443</f>
        <v>0</v>
      </c>
      <c r="J442" s="3" t="str">
        <f>CONTROLE_DIARIO!J443</f>
        <v/>
      </c>
      <c r="K442" s="3" t="str">
        <f>CONTROLE_DIARIO!K443</f>
        <v/>
      </c>
      <c r="L442" s="51">
        <f>CONTROLE_DIARIO!L443</f>
        <v>0</v>
      </c>
      <c r="M442" s="51">
        <f>CONTROLE_DIARIO!M443</f>
        <v>0</v>
      </c>
      <c r="N442" s="3">
        <f>CONTROLE_DIARIO!N443</f>
        <v>0</v>
      </c>
      <c r="O442" s="3" t="str">
        <f>CONTROLE_DIARIO!O443</f>
        <v/>
      </c>
      <c r="P442" s="51" t="str">
        <f>CONTROLE_DIARIO!P443</f>
        <v/>
      </c>
      <c r="Q442" s="6">
        <f t="shared" si="47"/>
        <v>0</v>
      </c>
      <c r="R442" s="54" t="str">
        <f t="shared" si="48"/>
        <v>OK</v>
      </c>
      <c r="S442" s="3" t="str">
        <f t="shared" si="49"/>
        <v>jan/yy</v>
      </c>
      <c r="T442" s="3">
        <f t="shared" si="50"/>
        <v>1</v>
      </c>
      <c r="U442" s="3">
        <f t="shared" si="51"/>
        <v>1900</v>
      </c>
      <c r="V442" s="6">
        <f t="shared" si="52"/>
        <v>0</v>
      </c>
      <c r="W442" s="3" t="str">
        <f t="shared" si="53"/>
        <v>CRÍTICO</v>
      </c>
    </row>
    <row r="443" spans="1:23" x14ac:dyDescent="0.25">
      <c r="A443" s="2">
        <f>CONTROLE_DIARIO!A444</f>
        <v>0</v>
      </c>
      <c r="B443" s="51">
        <f>CONTROLE_DIARIO!B444</f>
        <v>0</v>
      </c>
      <c r="C443" s="3">
        <f>CONTROLE_DIARIO!C444</f>
        <v>0</v>
      </c>
      <c r="D443" s="3">
        <f>CONTROLE_DIARIO!D444</f>
        <v>0</v>
      </c>
      <c r="E443" s="3">
        <f>CONTROLE_DIARIO!E444</f>
        <v>0</v>
      </c>
      <c r="F443" s="3">
        <f>CONTROLE_DIARIO!F444</f>
        <v>0</v>
      </c>
      <c r="G443" s="3">
        <f>CONTROLE_DIARIO!G444</f>
        <v>0</v>
      </c>
      <c r="H443" s="3">
        <f>CONTROLE_DIARIO!H444</f>
        <v>0</v>
      </c>
      <c r="I443" s="3">
        <f>CONTROLE_DIARIO!I444</f>
        <v>0</v>
      </c>
      <c r="J443" s="3" t="str">
        <f>CONTROLE_DIARIO!J444</f>
        <v/>
      </c>
      <c r="K443" s="3" t="str">
        <f>CONTROLE_DIARIO!K444</f>
        <v/>
      </c>
      <c r="L443" s="51">
        <f>CONTROLE_DIARIO!L444</f>
        <v>0</v>
      </c>
      <c r="M443" s="51">
        <f>CONTROLE_DIARIO!M444</f>
        <v>0</v>
      </c>
      <c r="N443" s="3">
        <f>CONTROLE_DIARIO!N444</f>
        <v>0</v>
      </c>
      <c r="O443" s="3" t="str">
        <f>CONTROLE_DIARIO!O444</f>
        <v/>
      </c>
      <c r="P443" s="51" t="str">
        <f>CONTROLE_DIARIO!P444</f>
        <v/>
      </c>
      <c r="Q443" s="6">
        <f t="shared" si="47"/>
        <v>0</v>
      </c>
      <c r="R443" s="54" t="str">
        <f t="shared" si="48"/>
        <v>OK</v>
      </c>
      <c r="S443" s="3" t="str">
        <f t="shared" si="49"/>
        <v>jan/yy</v>
      </c>
      <c r="T443" s="3">
        <f t="shared" si="50"/>
        <v>1</v>
      </c>
      <c r="U443" s="3">
        <f t="shared" si="51"/>
        <v>1900</v>
      </c>
      <c r="V443" s="6">
        <f t="shared" si="52"/>
        <v>0</v>
      </c>
      <c r="W443" s="3" t="str">
        <f t="shared" si="53"/>
        <v>CRÍTICO</v>
      </c>
    </row>
    <row r="444" spans="1:23" x14ac:dyDescent="0.25">
      <c r="A444" s="2">
        <f>CONTROLE_DIARIO!A445</f>
        <v>0</v>
      </c>
      <c r="B444" s="51">
        <f>CONTROLE_DIARIO!B445</f>
        <v>0</v>
      </c>
      <c r="C444" s="3">
        <f>CONTROLE_DIARIO!C445</f>
        <v>0</v>
      </c>
      <c r="D444" s="3">
        <f>CONTROLE_DIARIO!D445</f>
        <v>0</v>
      </c>
      <c r="E444" s="3">
        <f>CONTROLE_DIARIO!E445</f>
        <v>0</v>
      </c>
      <c r="F444" s="3">
        <f>CONTROLE_DIARIO!F445</f>
        <v>0</v>
      </c>
      <c r="G444" s="3">
        <f>CONTROLE_DIARIO!G445</f>
        <v>0</v>
      </c>
      <c r="H444" s="3">
        <f>CONTROLE_DIARIO!H445</f>
        <v>0</v>
      </c>
      <c r="I444" s="3">
        <f>CONTROLE_DIARIO!I445</f>
        <v>0</v>
      </c>
      <c r="J444" s="3" t="str">
        <f>CONTROLE_DIARIO!J445</f>
        <v/>
      </c>
      <c r="K444" s="3" t="str">
        <f>CONTROLE_DIARIO!K445</f>
        <v/>
      </c>
      <c r="L444" s="51">
        <f>CONTROLE_DIARIO!L445</f>
        <v>0</v>
      </c>
      <c r="M444" s="51">
        <f>CONTROLE_DIARIO!M445</f>
        <v>0</v>
      </c>
      <c r="N444" s="3">
        <f>CONTROLE_DIARIO!N445</f>
        <v>0</v>
      </c>
      <c r="O444" s="3" t="str">
        <f>CONTROLE_DIARIO!O445</f>
        <v/>
      </c>
      <c r="P444" s="51" t="str">
        <f>CONTROLE_DIARIO!P445</f>
        <v/>
      </c>
      <c r="Q444" s="6">
        <f t="shared" si="47"/>
        <v>0</v>
      </c>
      <c r="R444" s="54" t="str">
        <f t="shared" si="48"/>
        <v>OK</v>
      </c>
      <c r="S444" s="3" t="str">
        <f t="shared" si="49"/>
        <v>jan/yy</v>
      </c>
      <c r="T444" s="3">
        <f t="shared" si="50"/>
        <v>1</v>
      </c>
      <c r="U444" s="3">
        <f t="shared" si="51"/>
        <v>1900</v>
      </c>
      <c r="V444" s="6">
        <f t="shared" si="52"/>
        <v>0</v>
      </c>
      <c r="W444" s="3" t="str">
        <f t="shared" si="53"/>
        <v>CRÍTICO</v>
      </c>
    </row>
    <row r="445" spans="1:23" x14ac:dyDescent="0.25">
      <c r="A445" s="2">
        <f>CONTROLE_DIARIO!A446</f>
        <v>0</v>
      </c>
      <c r="B445" s="51">
        <f>CONTROLE_DIARIO!B446</f>
        <v>0</v>
      </c>
      <c r="C445" s="3">
        <f>CONTROLE_DIARIO!C446</f>
        <v>0</v>
      </c>
      <c r="D445" s="3">
        <f>CONTROLE_DIARIO!D446</f>
        <v>0</v>
      </c>
      <c r="E445" s="3">
        <f>CONTROLE_DIARIO!E446</f>
        <v>0</v>
      </c>
      <c r="F445" s="3">
        <f>CONTROLE_DIARIO!F446</f>
        <v>0</v>
      </c>
      <c r="G445" s="3">
        <f>CONTROLE_DIARIO!G446</f>
        <v>0</v>
      </c>
      <c r="H445" s="3">
        <f>CONTROLE_DIARIO!H446</f>
        <v>0</v>
      </c>
      <c r="I445" s="3">
        <f>CONTROLE_DIARIO!I446</f>
        <v>0</v>
      </c>
      <c r="J445" s="3" t="str">
        <f>CONTROLE_DIARIO!J446</f>
        <v/>
      </c>
      <c r="K445" s="3" t="str">
        <f>CONTROLE_DIARIO!K446</f>
        <v/>
      </c>
      <c r="L445" s="51">
        <f>CONTROLE_DIARIO!L446</f>
        <v>0</v>
      </c>
      <c r="M445" s="51">
        <f>CONTROLE_DIARIO!M446</f>
        <v>0</v>
      </c>
      <c r="N445" s="3">
        <f>CONTROLE_DIARIO!N446</f>
        <v>0</v>
      </c>
      <c r="O445" s="3" t="str">
        <f>CONTROLE_DIARIO!O446</f>
        <v/>
      </c>
      <c r="P445" s="51" t="str">
        <f>CONTROLE_DIARIO!P446</f>
        <v/>
      </c>
      <c r="Q445" s="6">
        <f t="shared" si="47"/>
        <v>0</v>
      </c>
      <c r="R445" s="54" t="str">
        <f t="shared" si="48"/>
        <v>OK</v>
      </c>
      <c r="S445" s="3" t="str">
        <f t="shared" si="49"/>
        <v>jan/yy</v>
      </c>
      <c r="T445" s="3">
        <f t="shared" si="50"/>
        <v>1</v>
      </c>
      <c r="U445" s="3">
        <f t="shared" si="51"/>
        <v>1900</v>
      </c>
      <c r="V445" s="6">
        <f t="shared" si="52"/>
        <v>0</v>
      </c>
      <c r="W445" s="3" t="str">
        <f t="shared" si="53"/>
        <v>CRÍTICO</v>
      </c>
    </row>
    <row r="446" spans="1:23" x14ac:dyDescent="0.25">
      <c r="A446" s="2">
        <f>CONTROLE_DIARIO!A447</f>
        <v>0</v>
      </c>
      <c r="B446" s="51">
        <f>CONTROLE_DIARIO!B447</f>
        <v>0</v>
      </c>
      <c r="C446" s="3">
        <f>CONTROLE_DIARIO!C447</f>
        <v>0</v>
      </c>
      <c r="D446" s="3">
        <f>CONTROLE_DIARIO!D447</f>
        <v>0</v>
      </c>
      <c r="E446" s="3">
        <f>CONTROLE_DIARIO!E447</f>
        <v>0</v>
      </c>
      <c r="F446" s="3">
        <f>CONTROLE_DIARIO!F447</f>
        <v>0</v>
      </c>
      <c r="G446" s="3">
        <f>CONTROLE_DIARIO!G447</f>
        <v>0</v>
      </c>
      <c r="H446" s="3">
        <f>CONTROLE_DIARIO!H447</f>
        <v>0</v>
      </c>
      <c r="I446" s="3">
        <f>CONTROLE_DIARIO!I447</f>
        <v>0</v>
      </c>
      <c r="J446" s="3" t="str">
        <f>CONTROLE_DIARIO!J447</f>
        <v/>
      </c>
      <c r="K446" s="3" t="str">
        <f>CONTROLE_DIARIO!K447</f>
        <v/>
      </c>
      <c r="L446" s="51">
        <f>CONTROLE_DIARIO!L447</f>
        <v>0</v>
      </c>
      <c r="M446" s="51">
        <f>CONTROLE_DIARIO!M447</f>
        <v>0</v>
      </c>
      <c r="N446" s="3">
        <f>CONTROLE_DIARIO!N447</f>
        <v>0</v>
      </c>
      <c r="O446" s="3" t="str">
        <f>CONTROLE_DIARIO!O447</f>
        <v/>
      </c>
      <c r="P446" s="51" t="str">
        <f>CONTROLE_DIARIO!P447</f>
        <v/>
      </c>
      <c r="Q446" s="6">
        <f t="shared" si="47"/>
        <v>0</v>
      </c>
      <c r="R446" s="54" t="str">
        <f t="shared" si="48"/>
        <v>OK</v>
      </c>
      <c r="S446" s="3" t="str">
        <f t="shared" si="49"/>
        <v>jan/yy</v>
      </c>
      <c r="T446" s="3">
        <f t="shared" si="50"/>
        <v>1</v>
      </c>
      <c r="U446" s="3">
        <f t="shared" si="51"/>
        <v>1900</v>
      </c>
      <c r="V446" s="6">
        <f t="shared" si="52"/>
        <v>0</v>
      </c>
      <c r="W446" s="3" t="str">
        <f t="shared" si="53"/>
        <v>CRÍTICO</v>
      </c>
    </row>
    <row r="447" spans="1:23" x14ac:dyDescent="0.25">
      <c r="A447" s="2">
        <f>CONTROLE_DIARIO!A448</f>
        <v>0</v>
      </c>
      <c r="B447" s="51">
        <f>CONTROLE_DIARIO!B448</f>
        <v>0</v>
      </c>
      <c r="C447" s="3">
        <f>CONTROLE_DIARIO!C448</f>
        <v>0</v>
      </c>
      <c r="D447" s="3">
        <f>CONTROLE_DIARIO!D448</f>
        <v>0</v>
      </c>
      <c r="E447" s="3">
        <f>CONTROLE_DIARIO!E448</f>
        <v>0</v>
      </c>
      <c r="F447" s="3">
        <f>CONTROLE_DIARIO!F448</f>
        <v>0</v>
      </c>
      <c r="G447" s="3">
        <f>CONTROLE_DIARIO!G448</f>
        <v>0</v>
      </c>
      <c r="H447" s="3">
        <f>CONTROLE_DIARIO!H448</f>
        <v>0</v>
      </c>
      <c r="I447" s="3">
        <f>CONTROLE_DIARIO!I448</f>
        <v>0</v>
      </c>
      <c r="J447" s="3" t="str">
        <f>CONTROLE_DIARIO!J448</f>
        <v/>
      </c>
      <c r="K447" s="3" t="str">
        <f>CONTROLE_DIARIO!K448</f>
        <v/>
      </c>
      <c r="L447" s="51">
        <f>CONTROLE_DIARIO!L448</f>
        <v>0</v>
      </c>
      <c r="M447" s="51">
        <f>CONTROLE_DIARIO!M448</f>
        <v>0</v>
      </c>
      <c r="N447" s="3">
        <f>CONTROLE_DIARIO!N448</f>
        <v>0</v>
      </c>
      <c r="O447" s="3" t="str">
        <f>CONTROLE_DIARIO!O448</f>
        <v/>
      </c>
      <c r="P447" s="51" t="str">
        <f>CONTROLE_DIARIO!P448</f>
        <v/>
      </c>
      <c r="Q447" s="6">
        <f t="shared" si="47"/>
        <v>0</v>
      </c>
      <c r="R447" s="54" t="str">
        <f t="shared" si="48"/>
        <v>OK</v>
      </c>
      <c r="S447" s="3" t="str">
        <f t="shared" si="49"/>
        <v>jan/yy</v>
      </c>
      <c r="T447" s="3">
        <f t="shared" si="50"/>
        <v>1</v>
      </c>
      <c r="U447" s="3">
        <f t="shared" si="51"/>
        <v>1900</v>
      </c>
      <c r="V447" s="6">
        <f t="shared" si="52"/>
        <v>0</v>
      </c>
      <c r="W447" s="3" t="str">
        <f t="shared" si="53"/>
        <v>CRÍTICO</v>
      </c>
    </row>
    <row r="448" spans="1:23" x14ac:dyDescent="0.25">
      <c r="A448" s="2">
        <f>CONTROLE_DIARIO!A449</f>
        <v>0</v>
      </c>
      <c r="B448" s="51">
        <f>CONTROLE_DIARIO!B449</f>
        <v>0</v>
      </c>
      <c r="C448" s="3">
        <f>CONTROLE_DIARIO!C449</f>
        <v>0</v>
      </c>
      <c r="D448" s="3">
        <f>CONTROLE_DIARIO!D449</f>
        <v>0</v>
      </c>
      <c r="E448" s="3">
        <f>CONTROLE_DIARIO!E449</f>
        <v>0</v>
      </c>
      <c r="F448" s="3">
        <f>CONTROLE_DIARIO!F449</f>
        <v>0</v>
      </c>
      <c r="G448" s="3">
        <f>CONTROLE_DIARIO!G449</f>
        <v>0</v>
      </c>
      <c r="H448" s="3">
        <f>CONTROLE_DIARIO!H449</f>
        <v>0</v>
      </c>
      <c r="I448" s="3">
        <f>CONTROLE_DIARIO!I449</f>
        <v>0</v>
      </c>
      <c r="J448" s="3" t="str">
        <f>CONTROLE_DIARIO!J449</f>
        <v/>
      </c>
      <c r="K448" s="3" t="str">
        <f>CONTROLE_DIARIO!K449</f>
        <v/>
      </c>
      <c r="L448" s="51">
        <f>CONTROLE_DIARIO!L449</f>
        <v>0</v>
      </c>
      <c r="M448" s="51">
        <f>CONTROLE_DIARIO!M449</f>
        <v>0</v>
      </c>
      <c r="N448" s="3">
        <f>CONTROLE_DIARIO!N449</f>
        <v>0</v>
      </c>
      <c r="O448" s="3" t="str">
        <f>CONTROLE_DIARIO!O449</f>
        <v/>
      </c>
      <c r="P448" s="51" t="str">
        <f>CONTROLE_DIARIO!P449</f>
        <v/>
      </c>
      <c r="Q448" s="6">
        <f t="shared" si="47"/>
        <v>0</v>
      </c>
      <c r="R448" s="54" t="str">
        <f t="shared" si="48"/>
        <v>OK</v>
      </c>
      <c r="S448" s="3" t="str">
        <f t="shared" si="49"/>
        <v>jan/yy</v>
      </c>
      <c r="T448" s="3">
        <f t="shared" si="50"/>
        <v>1</v>
      </c>
      <c r="U448" s="3">
        <f t="shared" si="51"/>
        <v>1900</v>
      </c>
      <c r="V448" s="6">
        <f t="shared" si="52"/>
        <v>0</v>
      </c>
      <c r="W448" s="3" t="str">
        <f t="shared" si="53"/>
        <v>CRÍTICO</v>
      </c>
    </row>
    <row r="449" spans="1:23" x14ac:dyDescent="0.25">
      <c r="A449" s="2">
        <f>CONTROLE_DIARIO!A450</f>
        <v>0</v>
      </c>
      <c r="B449" s="51">
        <f>CONTROLE_DIARIO!B450</f>
        <v>0</v>
      </c>
      <c r="C449" s="3">
        <f>CONTROLE_DIARIO!C450</f>
        <v>0</v>
      </c>
      <c r="D449" s="3">
        <f>CONTROLE_DIARIO!D450</f>
        <v>0</v>
      </c>
      <c r="E449" s="3">
        <f>CONTROLE_DIARIO!E450</f>
        <v>0</v>
      </c>
      <c r="F449" s="3">
        <f>CONTROLE_DIARIO!F450</f>
        <v>0</v>
      </c>
      <c r="G449" s="3">
        <f>CONTROLE_DIARIO!G450</f>
        <v>0</v>
      </c>
      <c r="H449" s="3">
        <f>CONTROLE_DIARIO!H450</f>
        <v>0</v>
      </c>
      <c r="I449" s="3">
        <f>CONTROLE_DIARIO!I450</f>
        <v>0</v>
      </c>
      <c r="J449" s="3" t="str">
        <f>CONTROLE_DIARIO!J450</f>
        <v/>
      </c>
      <c r="K449" s="3" t="str">
        <f>CONTROLE_DIARIO!K450</f>
        <v/>
      </c>
      <c r="L449" s="51">
        <f>CONTROLE_DIARIO!L450</f>
        <v>0</v>
      </c>
      <c r="M449" s="51">
        <f>CONTROLE_DIARIO!M450</f>
        <v>0</v>
      </c>
      <c r="N449" s="3">
        <f>CONTROLE_DIARIO!N450</f>
        <v>0</v>
      </c>
      <c r="O449" s="3" t="str">
        <f>CONTROLE_DIARIO!O450</f>
        <v/>
      </c>
      <c r="P449" s="51" t="str">
        <f>CONTROLE_DIARIO!P450</f>
        <v/>
      </c>
      <c r="Q449" s="6">
        <f t="shared" si="47"/>
        <v>0</v>
      </c>
      <c r="R449" s="54" t="str">
        <f t="shared" si="48"/>
        <v>OK</v>
      </c>
      <c r="S449" s="3" t="str">
        <f t="shared" si="49"/>
        <v>jan/yy</v>
      </c>
      <c r="T449" s="3">
        <f t="shared" si="50"/>
        <v>1</v>
      </c>
      <c r="U449" s="3">
        <f t="shared" si="51"/>
        <v>1900</v>
      </c>
      <c r="V449" s="6">
        <f t="shared" si="52"/>
        <v>0</v>
      </c>
      <c r="W449" s="3" t="str">
        <f t="shared" si="53"/>
        <v>CRÍTICO</v>
      </c>
    </row>
    <row r="450" spans="1:23" x14ac:dyDescent="0.25">
      <c r="A450" s="2">
        <f>CONTROLE_DIARIO!A451</f>
        <v>0</v>
      </c>
      <c r="B450" s="51">
        <f>CONTROLE_DIARIO!B451</f>
        <v>0</v>
      </c>
      <c r="C450" s="3">
        <f>CONTROLE_DIARIO!C451</f>
        <v>0</v>
      </c>
      <c r="D450" s="3">
        <f>CONTROLE_DIARIO!D451</f>
        <v>0</v>
      </c>
      <c r="E450" s="3">
        <f>CONTROLE_DIARIO!E451</f>
        <v>0</v>
      </c>
      <c r="F450" s="3">
        <f>CONTROLE_DIARIO!F451</f>
        <v>0</v>
      </c>
      <c r="G450" s="3">
        <f>CONTROLE_DIARIO!G451</f>
        <v>0</v>
      </c>
      <c r="H450" s="3">
        <f>CONTROLE_DIARIO!H451</f>
        <v>0</v>
      </c>
      <c r="I450" s="3">
        <f>CONTROLE_DIARIO!I451</f>
        <v>0</v>
      </c>
      <c r="J450" s="3" t="str">
        <f>CONTROLE_DIARIO!J451</f>
        <v/>
      </c>
      <c r="K450" s="3" t="str">
        <f>CONTROLE_DIARIO!K451</f>
        <v/>
      </c>
      <c r="L450" s="51">
        <f>CONTROLE_DIARIO!L451</f>
        <v>0</v>
      </c>
      <c r="M450" s="51">
        <f>CONTROLE_DIARIO!M451</f>
        <v>0</v>
      </c>
      <c r="N450" s="3">
        <f>CONTROLE_DIARIO!N451</f>
        <v>0</v>
      </c>
      <c r="O450" s="3" t="str">
        <f>CONTROLE_DIARIO!O451</f>
        <v/>
      </c>
      <c r="P450" s="51" t="str">
        <f>CONTROLE_DIARIO!P451</f>
        <v/>
      </c>
      <c r="Q450" s="6">
        <f t="shared" si="47"/>
        <v>0</v>
      </c>
      <c r="R450" s="54" t="str">
        <f t="shared" si="48"/>
        <v>OK</v>
      </c>
      <c r="S450" s="3" t="str">
        <f t="shared" si="49"/>
        <v>jan/yy</v>
      </c>
      <c r="T450" s="3">
        <f t="shared" si="50"/>
        <v>1</v>
      </c>
      <c r="U450" s="3">
        <f t="shared" si="51"/>
        <v>1900</v>
      </c>
      <c r="V450" s="6">
        <f t="shared" si="52"/>
        <v>0</v>
      </c>
      <c r="W450" s="3" t="str">
        <f t="shared" si="53"/>
        <v>CRÍTICO</v>
      </c>
    </row>
    <row r="451" spans="1:23" x14ac:dyDescent="0.25">
      <c r="A451" s="2">
        <f>CONTROLE_DIARIO!A452</f>
        <v>0</v>
      </c>
      <c r="B451" s="51">
        <f>CONTROLE_DIARIO!B452</f>
        <v>0</v>
      </c>
      <c r="C451" s="3">
        <f>CONTROLE_DIARIO!C452</f>
        <v>0</v>
      </c>
      <c r="D451" s="3">
        <f>CONTROLE_DIARIO!D452</f>
        <v>0</v>
      </c>
      <c r="E451" s="3">
        <f>CONTROLE_DIARIO!E452</f>
        <v>0</v>
      </c>
      <c r="F451" s="3">
        <f>CONTROLE_DIARIO!F452</f>
        <v>0</v>
      </c>
      <c r="G451" s="3">
        <f>CONTROLE_DIARIO!G452</f>
        <v>0</v>
      </c>
      <c r="H451" s="3">
        <f>CONTROLE_DIARIO!H452</f>
        <v>0</v>
      </c>
      <c r="I451" s="3">
        <f>CONTROLE_DIARIO!I452</f>
        <v>0</v>
      </c>
      <c r="J451" s="3" t="str">
        <f>CONTROLE_DIARIO!J452</f>
        <v/>
      </c>
      <c r="K451" s="3" t="str">
        <f>CONTROLE_DIARIO!K452</f>
        <v/>
      </c>
      <c r="L451" s="51">
        <f>CONTROLE_DIARIO!L452</f>
        <v>0</v>
      </c>
      <c r="M451" s="51">
        <f>CONTROLE_DIARIO!M452</f>
        <v>0</v>
      </c>
      <c r="N451" s="3">
        <f>CONTROLE_DIARIO!N452</f>
        <v>0</v>
      </c>
      <c r="O451" s="3" t="str">
        <f>CONTROLE_DIARIO!O452</f>
        <v/>
      </c>
      <c r="P451" s="51" t="str">
        <f>CONTROLE_DIARIO!P452</f>
        <v/>
      </c>
      <c r="Q451" s="6">
        <f t="shared" si="47"/>
        <v>0</v>
      </c>
      <c r="R451" s="54" t="str">
        <f t="shared" si="48"/>
        <v>OK</v>
      </c>
      <c r="S451" s="3" t="str">
        <f t="shared" si="49"/>
        <v>jan/yy</v>
      </c>
      <c r="T451" s="3">
        <f t="shared" si="50"/>
        <v>1</v>
      </c>
      <c r="U451" s="3">
        <f t="shared" si="51"/>
        <v>1900</v>
      </c>
      <c r="V451" s="6">
        <f t="shared" si="52"/>
        <v>0</v>
      </c>
      <c r="W451" s="3" t="str">
        <f t="shared" si="53"/>
        <v>CRÍTICO</v>
      </c>
    </row>
    <row r="452" spans="1:23" x14ac:dyDescent="0.25">
      <c r="A452" s="2">
        <f>CONTROLE_DIARIO!A453</f>
        <v>0</v>
      </c>
      <c r="B452" s="51">
        <f>CONTROLE_DIARIO!B453</f>
        <v>0</v>
      </c>
      <c r="C452" s="3">
        <f>CONTROLE_DIARIO!C453</f>
        <v>0</v>
      </c>
      <c r="D452" s="3">
        <f>CONTROLE_DIARIO!D453</f>
        <v>0</v>
      </c>
      <c r="E452" s="3">
        <f>CONTROLE_DIARIO!E453</f>
        <v>0</v>
      </c>
      <c r="F452" s="3">
        <f>CONTROLE_DIARIO!F453</f>
        <v>0</v>
      </c>
      <c r="G452" s="3">
        <f>CONTROLE_DIARIO!G453</f>
        <v>0</v>
      </c>
      <c r="H452" s="3">
        <f>CONTROLE_DIARIO!H453</f>
        <v>0</v>
      </c>
      <c r="I452" s="3">
        <f>CONTROLE_DIARIO!I453</f>
        <v>0</v>
      </c>
      <c r="J452" s="3" t="str">
        <f>CONTROLE_DIARIO!J453</f>
        <v/>
      </c>
      <c r="K452" s="3" t="str">
        <f>CONTROLE_DIARIO!K453</f>
        <v/>
      </c>
      <c r="L452" s="51">
        <f>CONTROLE_DIARIO!L453</f>
        <v>0</v>
      </c>
      <c r="M452" s="51">
        <f>CONTROLE_DIARIO!M453</f>
        <v>0</v>
      </c>
      <c r="N452" s="3">
        <f>CONTROLE_DIARIO!N453</f>
        <v>0</v>
      </c>
      <c r="O452" s="3" t="str">
        <f>CONTROLE_DIARIO!O453</f>
        <v/>
      </c>
      <c r="P452" s="51" t="str">
        <f>CONTROLE_DIARIO!P453</f>
        <v/>
      </c>
      <c r="Q452" s="6">
        <f t="shared" si="47"/>
        <v>0</v>
      </c>
      <c r="R452" s="54" t="str">
        <f t="shared" si="48"/>
        <v>OK</v>
      </c>
      <c r="S452" s="3" t="str">
        <f t="shared" si="49"/>
        <v>jan/yy</v>
      </c>
      <c r="T452" s="3">
        <f t="shared" si="50"/>
        <v>1</v>
      </c>
      <c r="U452" s="3">
        <f t="shared" si="51"/>
        <v>1900</v>
      </c>
      <c r="V452" s="6">
        <f t="shared" si="52"/>
        <v>0</v>
      </c>
      <c r="W452" s="3" t="str">
        <f t="shared" si="53"/>
        <v>CRÍTICO</v>
      </c>
    </row>
    <row r="453" spans="1:23" x14ac:dyDescent="0.25">
      <c r="A453" s="2">
        <f>CONTROLE_DIARIO!A454</f>
        <v>0</v>
      </c>
      <c r="B453" s="51">
        <f>CONTROLE_DIARIO!B454</f>
        <v>0</v>
      </c>
      <c r="C453" s="3">
        <f>CONTROLE_DIARIO!C454</f>
        <v>0</v>
      </c>
      <c r="D453" s="3">
        <f>CONTROLE_DIARIO!D454</f>
        <v>0</v>
      </c>
      <c r="E453" s="3">
        <f>CONTROLE_DIARIO!E454</f>
        <v>0</v>
      </c>
      <c r="F453" s="3">
        <f>CONTROLE_DIARIO!F454</f>
        <v>0</v>
      </c>
      <c r="G453" s="3">
        <f>CONTROLE_DIARIO!G454</f>
        <v>0</v>
      </c>
      <c r="H453" s="3">
        <f>CONTROLE_DIARIO!H454</f>
        <v>0</v>
      </c>
      <c r="I453" s="3">
        <f>CONTROLE_DIARIO!I454</f>
        <v>0</v>
      </c>
      <c r="J453" s="3" t="str">
        <f>CONTROLE_DIARIO!J454</f>
        <v/>
      </c>
      <c r="K453" s="3" t="str">
        <f>CONTROLE_DIARIO!K454</f>
        <v/>
      </c>
      <c r="L453" s="51">
        <f>CONTROLE_DIARIO!L454</f>
        <v>0</v>
      </c>
      <c r="M453" s="51">
        <f>CONTROLE_DIARIO!M454</f>
        <v>0</v>
      </c>
      <c r="N453" s="3">
        <f>CONTROLE_DIARIO!N454</f>
        <v>0</v>
      </c>
      <c r="O453" s="3" t="str">
        <f>CONTROLE_DIARIO!O454</f>
        <v/>
      </c>
      <c r="P453" s="51" t="str">
        <f>CONTROLE_DIARIO!P454</f>
        <v/>
      </c>
      <c r="Q453" s="6">
        <f t="shared" si="47"/>
        <v>0</v>
      </c>
      <c r="R453" s="54" t="str">
        <f t="shared" si="48"/>
        <v>OK</v>
      </c>
      <c r="S453" s="3" t="str">
        <f t="shared" si="49"/>
        <v>jan/yy</v>
      </c>
      <c r="T453" s="3">
        <f t="shared" si="50"/>
        <v>1</v>
      </c>
      <c r="U453" s="3">
        <f t="shared" si="51"/>
        <v>1900</v>
      </c>
      <c r="V453" s="6">
        <f t="shared" si="52"/>
        <v>0</v>
      </c>
      <c r="W453" s="3" t="str">
        <f t="shared" si="53"/>
        <v>CRÍTICO</v>
      </c>
    </row>
    <row r="454" spans="1:23" x14ac:dyDescent="0.25">
      <c r="A454" s="2">
        <f>CONTROLE_DIARIO!A455</f>
        <v>0</v>
      </c>
      <c r="B454" s="51">
        <f>CONTROLE_DIARIO!B455</f>
        <v>0</v>
      </c>
      <c r="C454" s="3">
        <f>CONTROLE_DIARIO!C455</f>
        <v>0</v>
      </c>
      <c r="D454" s="3">
        <f>CONTROLE_DIARIO!D455</f>
        <v>0</v>
      </c>
      <c r="E454" s="3">
        <f>CONTROLE_DIARIO!E455</f>
        <v>0</v>
      </c>
      <c r="F454" s="3">
        <f>CONTROLE_DIARIO!F455</f>
        <v>0</v>
      </c>
      <c r="G454" s="3">
        <f>CONTROLE_DIARIO!G455</f>
        <v>0</v>
      </c>
      <c r="H454" s="3">
        <f>CONTROLE_DIARIO!H455</f>
        <v>0</v>
      </c>
      <c r="I454" s="3">
        <f>CONTROLE_DIARIO!I455</f>
        <v>0</v>
      </c>
      <c r="J454" s="3" t="str">
        <f>CONTROLE_DIARIO!J455</f>
        <v/>
      </c>
      <c r="K454" s="3" t="str">
        <f>CONTROLE_DIARIO!K455</f>
        <v/>
      </c>
      <c r="L454" s="51">
        <f>CONTROLE_DIARIO!L455</f>
        <v>0</v>
      </c>
      <c r="M454" s="51">
        <f>CONTROLE_DIARIO!M455</f>
        <v>0</v>
      </c>
      <c r="N454" s="3">
        <f>CONTROLE_DIARIO!N455</f>
        <v>0</v>
      </c>
      <c r="O454" s="3" t="str">
        <f>CONTROLE_DIARIO!O455</f>
        <v/>
      </c>
      <c r="P454" s="51" t="str">
        <f>CONTROLE_DIARIO!P455</f>
        <v/>
      </c>
      <c r="Q454" s="6">
        <f t="shared" ref="Q454:Q500" si="54">IF(C454="","",(IF(F454="SIM",0.3,0)+IF(J454="SIM",0.4,0)+IF(I454="SIM",0.3,0)))</f>
        <v>0</v>
      </c>
      <c r="R454" s="54" t="str">
        <f t="shared" ref="R454:R500" si="55">IF(C454="","",IF(E454="Retorno Total","Retorno Total",IF(E454="Cancelado","Manifesto Cancelado",IF(AND(F454="NÃO",G454="NÃO",H454="NÃO"),"FORA APP",IF(F454="NÃO","Não conferido",IF(I454="NÃO","Não baixado",IF(AND(G454="NÃO",H454="NÃO"),"Sem foto e assinatura",IF(G454="NÃO","Sem foto",IF(H454="NÃO","Sem assinatura","OK")))))))))</f>
        <v>OK</v>
      </c>
      <c r="S454" s="3" t="str">
        <f t="shared" ref="S454:S500" si="56">IF(A454="","",TEXT(A454,"mmm/yy"))</f>
        <v>jan/yy</v>
      </c>
      <c r="T454" s="3">
        <f t="shared" ref="T454:T500" si="57">IF(A454="","",WEEKNUM(A454,2))</f>
        <v>1</v>
      </c>
      <c r="U454" s="3">
        <f t="shared" ref="U454:U500" si="58">IF(A454="","",YEAR(A454))</f>
        <v>1900</v>
      </c>
      <c r="V454" s="6">
        <f t="shared" ref="V454:V500" si="59">IF(C454="","",Q454)</f>
        <v>0</v>
      </c>
      <c r="W454" s="3" t="str">
        <f t="shared" ref="W454:W500" si="60">IF(C454="","",IF(Q454&lt;0.85,"CRÍTICO",IF(Q454&lt;0.95,"ATENÇÃO","OK")))</f>
        <v>CRÍTICO</v>
      </c>
    </row>
    <row r="455" spans="1:23" x14ac:dyDescent="0.25">
      <c r="A455" s="2">
        <f>CONTROLE_DIARIO!A456</f>
        <v>0</v>
      </c>
      <c r="B455" s="51">
        <f>CONTROLE_DIARIO!B456</f>
        <v>0</v>
      </c>
      <c r="C455" s="3">
        <f>CONTROLE_DIARIO!C456</f>
        <v>0</v>
      </c>
      <c r="D455" s="3">
        <f>CONTROLE_DIARIO!D456</f>
        <v>0</v>
      </c>
      <c r="E455" s="3">
        <f>CONTROLE_DIARIO!E456</f>
        <v>0</v>
      </c>
      <c r="F455" s="3">
        <f>CONTROLE_DIARIO!F456</f>
        <v>0</v>
      </c>
      <c r="G455" s="3">
        <f>CONTROLE_DIARIO!G456</f>
        <v>0</v>
      </c>
      <c r="H455" s="3">
        <f>CONTROLE_DIARIO!H456</f>
        <v>0</v>
      </c>
      <c r="I455" s="3">
        <f>CONTROLE_DIARIO!I456</f>
        <v>0</v>
      </c>
      <c r="J455" s="3" t="str">
        <f>CONTROLE_DIARIO!J456</f>
        <v/>
      </c>
      <c r="K455" s="3" t="str">
        <f>CONTROLE_DIARIO!K456</f>
        <v/>
      </c>
      <c r="L455" s="51">
        <f>CONTROLE_DIARIO!L456</f>
        <v>0</v>
      </c>
      <c r="M455" s="51">
        <f>CONTROLE_DIARIO!M456</f>
        <v>0</v>
      </c>
      <c r="N455" s="3">
        <f>CONTROLE_DIARIO!N456</f>
        <v>0</v>
      </c>
      <c r="O455" s="3" t="str">
        <f>CONTROLE_DIARIO!O456</f>
        <v/>
      </c>
      <c r="P455" s="51" t="str">
        <f>CONTROLE_DIARIO!P456</f>
        <v/>
      </c>
      <c r="Q455" s="6">
        <f t="shared" si="54"/>
        <v>0</v>
      </c>
      <c r="R455" s="54" t="str">
        <f t="shared" si="55"/>
        <v>OK</v>
      </c>
      <c r="S455" s="3" t="str">
        <f t="shared" si="56"/>
        <v>jan/yy</v>
      </c>
      <c r="T455" s="3">
        <f t="shared" si="57"/>
        <v>1</v>
      </c>
      <c r="U455" s="3">
        <f t="shared" si="58"/>
        <v>1900</v>
      </c>
      <c r="V455" s="6">
        <f t="shared" si="59"/>
        <v>0</v>
      </c>
      <c r="W455" s="3" t="str">
        <f t="shared" si="60"/>
        <v>CRÍTICO</v>
      </c>
    </row>
    <row r="456" spans="1:23" x14ac:dyDescent="0.25">
      <c r="A456" s="2">
        <f>CONTROLE_DIARIO!A457</f>
        <v>0</v>
      </c>
      <c r="B456" s="51">
        <f>CONTROLE_DIARIO!B457</f>
        <v>0</v>
      </c>
      <c r="C456" s="3">
        <f>CONTROLE_DIARIO!C457</f>
        <v>0</v>
      </c>
      <c r="D456" s="3">
        <f>CONTROLE_DIARIO!D457</f>
        <v>0</v>
      </c>
      <c r="E456" s="3">
        <f>CONTROLE_DIARIO!E457</f>
        <v>0</v>
      </c>
      <c r="F456" s="3">
        <f>CONTROLE_DIARIO!F457</f>
        <v>0</v>
      </c>
      <c r="G456" s="3">
        <f>CONTROLE_DIARIO!G457</f>
        <v>0</v>
      </c>
      <c r="H456" s="3">
        <f>CONTROLE_DIARIO!H457</f>
        <v>0</v>
      </c>
      <c r="I456" s="3">
        <f>CONTROLE_DIARIO!I457</f>
        <v>0</v>
      </c>
      <c r="J456" s="3" t="str">
        <f>CONTROLE_DIARIO!J457</f>
        <v/>
      </c>
      <c r="K456" s="3" t="str">
        <f>CONTROLE_DIARIO!K457</f>
        <v/>
      </c>
      <c r="L456" s="51">
        <f>CONTROLE_DIARIO!L457</f>
        <v>0</v>
      </c>
      <c r="M456" s="51">
        <f>CONTROLE_DIARIO!M457</f>
        <v>0</v>
      </c>
      <c r="N456" s="3">
        <f>CONTROLE_DIARIO!N457</f>
        <v>0</v>
      </c>
      <c r="O456" s="3" t="str">
        <f>CONTROLE_DIARIO!O457</f>
        <v/>
      </c>
      <c r="P456" s="51" t="str">
        <f>CONTROLE_DIARIO!P457</f>
        <v/>
      </c>
      <c r="Q456" s="6">
        <f t="shared" si="54"/>
        <v>0</v>
      </c>
      <c r="R456" s="54" t="str">
        <f t="shared" si="55"/>
        <v>OK</v>
      </c>
      <c r="S456" s="3" t="str">
        <f t="shared" si="56"/>
        <v>jan/yy</v>
      </c>
      <c r="T456" s="3">
        <f t="shared" si="57"/>
        <v>1</v>
      </c>
      <c r="U456" s="3">
        <f t="shared" si="58"/>
        <v>1900</v>
      </c>
      <c r="V456" s="6">
        <f t="shared" si="59"/>
        <v>0</v>
      </c>
      <c r="W456" s="3" t="str">
        <f t="shared" si="60"/>
        <v>CRÍTICO</v>
      </c>
    </row>
    <row r="457" spans="1:23" x14ac:dyDescent="0.25">
      <c r="A457" s="2">
        <f>CONTROLE_DIARIO!A458</f>
        <v>0</v>
      </c>
      <c r="B457" s="51">
        <f>CONTROLE_DIARIO!B458</f>
        <v>0</v>
      </c>
      <c r="C457" s="3">
        <f>CONTROLE_DIARIO!C458</f>
        <v>0</v>
      </c>
      <c r="D457" s="3">
        <f>CONTROLE_DIARIO!D458</f>
        <v>0</v>
      </c>
      <c r="E457" s="3">
        <f>CONTROLE_DIARIO!E458</f>
        <v>0</v>
      </c>
      <c r="F457" s="3">
        <f>CONTROLE_DIARIO!F458</f>
        <v>0</v>
      </c>
      <c r="G457" s="3">
        <f>CONTROLE_DIARIO!G458</f>
        <v>0</v>
      </c>
      <c r="H457" s="3">
        <f>CONTROLE_DIARIO!H458</f>
        <v>0</v>
      </c>
      <c r="I457" s="3">
        <f>CONTROLE_DIARIO!I458</f>
        <v>0</v>
      </c>
      <c r="J457" s="3" t="str">
        <f>CONTROLE_DIARIO!J458</f>
        <v/>
      </c>
      <c r="K457" s="3" t="str">
        <f>CONTROLE_DIARIO!K458</f>
        <v/>
      </c>
      <c r="L457" s="51">
        <f>CONTROLE_DIARIO!L458</f>
        <v>0</v>
      </c>
      <c r="M457" s="51">
        <f>CONTROLE_DIARIO!M458</f>
        <v>0</v>
      </c>
      <c r="N457" s="3">
        <f>CONTROLE_DIARIO!N458</f>
        <v>0</v>
      </c>
      <c r="O457" s="3" t="str">
        <f>CONTROLE_DIARIO!O458</f>
        <v/>
      </c>
      <c r="P457" s="51" t="str">
        <f>CONTROLE_DIARIO!P458</f>
        <v/>
      </c>
      <c r="Q457" s="6">
        <f t="shared" si="54"/>
        <v>0</v>
      </c>
      <c r="R457" s="54" t="str">
        <f t="shared" si="55"/>
        <v>OK</v>
      </c>
      <c r="S457" s="3" t="str">
        <f t="shared" si="56"/>
        <v>jan/yy</v>
      </c>
      <c r="T457" s="3">
        <f t="shared" si="57"/>
        <v>1</v>
      </c>
      <c r="U457" s="3">
        <f t="shared" si="58"/>
        <v>1900</v>
      </c>
      <c r="V457" s="6">
        <f t="shared" si="59"/>
        <v>0</v>
      </c>
      <c r="W457" s="3" t="str">
        <f t="shared" si="60"/>
        <v>CRÍTICO</v>
      </c>
    </row>
    <row r="458" spans="1:23" x14ac:dyDescent="0.25">
      <c r="A458" s="2">
        <f>CONTROLE_DIARIO!A459</f>
        <v>0</v>
      </c>
      <c r="B458" s="51">
        <f>CONTROLE_DIARIO!B459</f>
        <v>0</v>
      </c>
      <c r="C458" s="3">
        <f>CONTROLE_DIARIO!C459</f>
        <v>0</v>
      </c>
      <c r="D458" s="3">
        <f>CONTROLE_DIARIO!D459</f>
        <v>0</v>
      </c>
      <c r="E458" s="3">
        <f>CONTROLE_DIARIO!E459</f>
        <v>0</v>
      </c>
      <c r="F458" s="3">
        <f>CONTROLE_DIARIO!F459</f>
        <v>0</v>
      </c>
      <c r="G458" s="3">
        <f>CONTROLE_DIARIO!G459</f>
        <v>0</v>
      </c>
      <c r="H458" s="3">
        <f>CONTROLE_DIARIO!H459</f>
        <v>0</v>
      </c>
      <c r="I458" s="3">
        <f>CONTROLE_DIARIO!I459</f>
        <v>0</v>
      </c>
      <c r="J458" s="3" t="str">
        <f>CONTROLE_DIARIO!J459</f>
        <v/>
      </c>
      <c r="K458" s="3" t="str">
        <f>CONTROLE_DIARIO!K459</f>
        <v/>
      </c>
      <c r="L458" s="51">
        <f>CONTROLE_DIARIO!L459</f>
        <v>0</v>
      </c>
      <c r="M458" s="51">
        <f>CONTROLE_DIARIO!M459</f>
        <v>0</v>
      </c>
      <c r="N458" s="3">
        <f>CONTROLE_DIARIO!N459</f>
        <v>0</v>
      </c>
      <c r="O458" s="3" t="str">
        <f>CONTROLE_DIARIO!O459</f>
        <v/>
      </c>
      <c r="P458" s="51" t="str">
        <f>CONTROLE_DIARIO!P459</f>
        <v/>
      </c>
      <c r="Q458" s="6">
        <f t="shared" si="54"/>
        <v>0</v>
      </c>
      <c r="R458" s="54" t="str">
        <f t="shared" si="55"/>
        <v>OK</v>
      </c>
      <c r="S458" s="3" t="str">
        <f t="shared" si="56"/>
        <v>jan/yy</v>
      </c>
      <c r="T458" s="3">
        <f t="shared" si="57"/>
        <v>1</v>
      </c>
      <c r="U458" s="3">
        <f t="shared" si="58"/>
        <v>1900</v>
      </c>
      <c r="V458" s="6">
        <f t="shared" si="59"/>
        <v>0</v>
      </c>
      <c r="W458" s="3" t="str">
        <f t="shared" si="60"/>
        <v>CRÍTICO</v>
      </c>
    </row>
    <row r="459" spans="1:23" x14ac:dyDescent="0.25">
      <c r="A459" s="2">
        <f>CONTROLE_DIARIO!A460</f>
        <v>0</v>
      </c>
      <c r="B459" s="51">
        <f>CONTROLE_DIARIO!B460</f>
        <v>0</v>
      </c>
      <c r="C459" s="3">
        <f>CONTROLE_DIARIO!C460</f>
        <v>0</v>
      </c>
      <c r="D459" s="3">
        <f>CONTROLE_DIARIO!D460</f>
        <v>0</v>
      </c>
      <c r="E459" s="3">
        <f>CONTROLE_DIARIO!E460</f>
        <v>0</v>
      </c>
      <c r="F459" s="3">
        <f>CONTROLE_DIARIO!F460</f>
        <v>0</v>
      </c>
      <c r="G459" s="3">
        <f>CONTROLE_DIARIO!G460</f>
        <v>0</v>
      </c>
      <c r="H459" s="3">
        <f>CONTROLE_DIARIO!H460</f>
        <v>0</v>
      </c>
      <c r="I459" s="3">
        <f>CONTROLE_DIARIO!I460</f>
        <v>0</v>
      </c>
      <c r="J459" s="3" t="str">
        <f>CONTROLE_DIARIO!J460</f>
        <v/>
      </c>
      <c r="K459" s="3" t="str">
        <f>CONTROLE_DIARIO!K460</f>
        <v/>
      </c>
      <c r="L459" s="51">
        <f>CONTROLE_DIARIO!L460</f>
        <v>0</v>
      </c>
      <c r="M459" s="51">
        <f>CONTROLE_DIARIO!M460</f>
        <v>0</v>
      </c>
      <c r="N459" s="3">
        <f>CONTROLE_DIARIO!N460</f>
        <v>0</v>
      </c>
      <c r="O459" s="3" t="str">
        <f>CONTROLE_DIARIO!O460</f>
        <v/>
      </c>
      <c r="P459" s="51" t="str">
        <f>CONTROLE_DIARIO!P460</f>
        <v/>
      </c>
      <c r="Q459" s="6">
        <f t="shared" si="54"/>
        <v>0</v>
      </c>
      <c r="R459" s="54" t="str">
        <f t="shared" si="55"/>
        <v>OK</v>
      </c>
      <c r="S459" s="3" t="str">
        <f t="shared" si="56"/>
        <v>jan/yy</v>
      </c>
      <c r="T459" s="3">
        <f t="shared" si="57"/>
        <v>1</v>
      </c>
      <c r="U459" s="3">
        <f t="shared" si="58"/>
        <v>1900</v>
      </c>
      <c r="V459" s="6">
        <f t="shared" si="59"/>
        <v>0</v>
      </c>
      <c r="W459" s="3" t="str">
        <f t="shared" si="60"/>
        <v>CRÍTICO</v>
      </c>
    </row>
    <row r="460" spans="1:23" x14ac:dyDescent="0.25">
      <c r="A460" s="2">
        <f>CONTROLE_DIARIO!A461</f>
        <v>0</v>
      </c>
      <c r="B460" s="51">
        <f>CONTROLE_DIARIO!B461</f>
        <v>0</v>
      </c>
      <c r="C460" s="3">
        <f>CONTROLE_DIARIO!C461</f>
        <v>0</v>
      </c>
      <c r="D460" s="3">
        <f>CONTROLE_DIARIO!D461</f>
        <v>0</v>
      </c>
      <c r="E460" s="3">
        <f>CONTROLE_DIARIO!E461</f>
        <v>0</v>
      </c>
      <c r="F460" s="3">
        <f>CONTROLE_DIARIO!F461</f>
        <v>0</v>
      </c>
      <c r="G460" s="3">
        <f>CONTROLE_DIARIO!G461</f>
        <v>0</v>
      </c>
      <c r="H460" s="3">
        <f>CONTROLE_DIARIO!H461</f>
        <v>0</v>
      </c>
      <c r="I460" s="3">
        <f>CONTROLE_DIARIO!I461</f>
        <v>0</v>
      </c>
      <c r="J460" s="3" t="str">
        <f>CONTROLE_DIARIO!J461</f>
        <v/>
      </c>
      <c r="K460" s="3" t="str">
        <f>CONTROLE_DIARIO!K461</f>
        <v/>
      </c>
      <c r="L460" s="51">
        <f>CONTROLE_DIARIO!L461</f>
        <v>0</v>
      </c>
      <c r="M460" s="51">
        <f>CONTROLE_DIARIO!M461</f>
        <v>0</v>
      </c>
      <c r="N460" s="3">
        <f>CONTROLE_DIARIO!N461</f>
        <v>0</v>
      </c>
      <c r="O460" s="3" t="str">
        <f>CONTROLE_DIARIO!O461</f>
        <v/>
      </c>
      <c r="P460" s="51" t="str">
        <f>CONTROLE_DIARIO!P461</f>
        <v/>
      </c>
      <c r="Q460" s="6">
        <f t="shared" si="54"/>
        <v>0</v>
      </c>
      <c r="R460" s="54" t="str">
        <f t="shared" si="55"/>
        <v>OK</v>
      </c>
      <c r="S460" s="3" t="str">
        <f t="shared" si="56"/>
        <v>jan/yy</v>
      </c>
      <c r="T460" s="3">
        <f t="shared" si="57"/>
        <v>1</v>
      </c>
      <c r="U460" s="3">
        <f t="shared" si="58"/>
        <v>1900</v>
      </c>
      <c r="V460" s="6">
        <f t="shared" si="59"/>
        <v>0</v>
      </c>
      <c r="W460" s="3" t="str">
        <f t="shared" si="60"/>
        <v>CRÍTICO</v>
      </c>
    </row>
    <row r="461" spans="1:23" x14ac:dyDescent="0.25">
      <c r="A461" s="2">
        <f>CONTROLE_DIARIO!A462</f>
        <v>0</v>
      </c>
      <c r="B461" s="51">
        <f>CONTROLE_DIARIO!B462</f>
        <v>0</v>
      </c>
      <c r="C461" s="3">
        <f>CONTROLE_DIARIO!C462</f>
        <v>0</v>
      </c>
      <c r="D461" s="3">
        <f>CONTROLE_DIARIO!D462</f>
        <v>0</v>
      </c>
      <c r="E461" s="3">
        <f>CONTROLE_DIARIO!E462</f>
        <v>0</v>
      </c>
      <c r="F461" s="3">
        <f>CONTROLE_DIARIO!F462</f>
        <v>0</v>
      </c>
      <c r="G461" s="3">
        <f>CONTROLE_DIARIO!G462</f>
        <v>0</v>
      </c>
      <c r="H461" s="3">
        <f>CONTROLE_DIARIO!H462</f>
        <v>0</v>
      </c>
      <c r="I461" s="3">
        <f>CONTROLE_DIARIO!I462</f>
        <v>0</v>
      </c>
      <c r="J461" s="3" t="str">
        <f>CONTROLE_DIARIO!J462</f>
        <v/>
      </c>
      <c r="K461" s="3" t="str">
        <f>CONTROLE_DIARIO!K462</f>
        <v/>
      </c>
      <c r="L461" s="51">
        <f>CONTROLE_DIARIO!L462</f>
        <v>0</v>
      </c>
      <c r="M461" s="51">
        <f>CONTROLE_DIARIO!M462</f>
        <v>0</v>
      </c>
      <c r="N461" s="3">
        <f>CONTROLE_DIARIO!N462</f>
        <v>0</v>
      </c>
      <c r="O461" s="3" t="str">
        <f>CONTROLE_DIARIO!O462</f>
        <v/>
      </c>
      <c r="P461" s="51" t="str">
        <f>CONTROLE_DIARIO!P462</f>
        <v/>
      </c>
      <c r="Q461" s="6">
        <f t="shared" si="54"/>
        <v>0</v>
      </c>
      <c r="R461" s="54" t="str">
        <f t="shared" si="55"/>
        <v>OK</v>
      </c>
      <c r="S461" s="3" t="str">
        <f t="shared" si="56"/>
        <v>jan/yy</v>
      </c>
      <c r="T461" s="3">
        <f t="shared" si="57"/>
        <v>1</v>
      </c>
      <c r="U461" s="3">
        <f t="shared" si="58"/>
        <v>1900</v>
      </c>
      <c r="V461" s="6">
        <f t="shared" si="59"/>
        <v>0</v>
      </c>
      <c r="W461" s="3" t="str">
        <f t="shared" si="60"/>
        <v>CRÍTICO</v>
      </c>
    </row>
    <row r="462" spans="1:23" x14ac:dyDescent="0.25">
      <c r="A462" s="2">
        <f>CONTROLE_DIARIO!A463</f>
        <v>0</v>
      </c>
      <c r="B462" s="51">
        <f>CONTROLE_DIARIO!B463</f>
        <v>0</v>
      </c>
      <c r="C462" s="3">
        <f>CONTROLE_DIARIO!C463</f>
        <v>0</v>
      </c>
      <c r="D462" s="3">
        <f>CONTROLE_DIARIO!D463</f>
        <v>0</v>
      </c>
      <c r="E462" s="3">
        <f>CONTROLE_DIARIO!E463</f>
        <v>0</v>
      </c>
      <c r="F462" s="3">
        <f>CONTROLE_DIARIO!F463</f>
        <v>0</v>
      </c>
      <c r="G462" s="3">
        <f>CONTROLE_DIARIO!G463</f>
        <v>0</v>
      </c>
      <c r="H462" s="3">
        <f>CONTROLE_DIARIO!H463</f>
        <v>0</v>
      </c>
      <c r="I462" s="3">
        <f>CONTROLE_DIARIO!I463</f>
        <v>0</v>
      </c>
      <c r="J462" s="3" t="str">
        <f>CONTROLE_DIARIO!J463</f>
        <v/>
      </c>
      <c r="K462" s="3" t="str">
        <f>CONTROLE_DIARIO!K463</f>
        <v/>
      </c>
      <c r="L462" s="51">
        <f>CONTROLE_DIARIO!L463</f>
        <v>0</v>
      </c>
      <c r="M462" s="51">
        <f>CONTROLE_DIARIO!M463</f>
        <v>0</v>
      </c>
      <c r="N462" s="3">
        <f>CONTROLE_DIARIO!N463</f>
        <v>0</v>
      </c>
      <c r="O462" s="3" t="str">
        <f>CONTROLE_DIARIO!O463</f>
        <v/>
      </c>
      <c r="P462" s="51" t="str">
        <f>CONTROLE_DIARIO!P463</f>
        <v/>
      </c>
      <c r="Q462" s="6">
        <f t="shared" si="54"/>
        <v>0</v>
      </c>
      <c r="R462" s="54" t="str">
        <f t="shared" si="55"/>
        <v>OK</v>
      </c>
      <c r="S462" s="3" t="str">
        <f t="shared" si="56"/>
        <v>jan/yy</v>
      </c>
      <c r="T462" s="3">
        <f t="shared" si="57"/>
        <v>1</v>
      </c>
      <c r="U462" s="3">
        <f t="shared" si="58"/>
        <v>1900</v>
      </c>
      <c r="V462" s="6">
        <f t="shared" si="59"/>
        <v>0</v>
      </c>
      <c r="W462" s="3" t="str">
        <f t="shared" si="60"/>
        <v>CRÍTICO</v>
      </c>
    </row>
    <row r="463" spans="1:23" x14ac:dyDescent="0.25">
      <c r="A463" s="2">
        <f>CONTROLE_DIARIO!A464</f>
        <v>0</v>
      </c>
      <c r="B463" s="51">
        <f>CONTROLE_DIARIO!B464</f>
        <v>0</v>
      </c>
      <c r="C463" s="3">
        <f>CONTROLE_DIARIO!C464</f>
        <v>0</v>
      </c>
      <c r="D463" s="3">
        <f>CONTROLE_DIARIO!D464</f>
        <v>0</v>
      </c>
      <c r="E463" s="3">
        <f>CONTROLE_DIARIO!E464</f>
        <v>0</v>
      </c>
      <c r="F463" s="3">
        <f>CONTROLE_DIARIO!F464</f>
        <v>0</v>
      </c>
      <c r="G463" s="3">
        <f>CONTROLE_DIARIO!G464</f>
        <v>0</v>
      </c>
      <c r="H463" s="3">
        <f>CONTROLE_DIARIO!H464</f>
        <v>0</v>
      </c>
      <c r="I463" s="3">
        <f>CONTROLE_DIARIO!I464</f>
        <v>0</v>
      </c>
      <c r="J463" s="3" t="str">
        <f>CONTROLE_DIARIO!J464</f>
        <v/>
      </c>
      <c r="K463" s="3" t="str">
        <f>CONTROLE_DIARIO!K464</f>
        <v/>
      </c>
      <c r="L463" s="51">
        <f>CONTROLE_DIARIO!L464</f>
        <v>0</v>
      </c>
      <c r="M463" s="51">
        <f>CONTROLE_DIARIO!M464</f>
        <v>0</v>
      </c>
      <c r="N463" s="3">
        <f>CONTROLE_DIARIO!N464</f>
        <v>0</v>
      </c>
      <c r="O463" s="3" t="str">
        <f>CONTROLE_DIARIO!O464</f>
        <v/>
      </c>
      <c r="P463" s="51" t="str">
        <f>CONTROLE_DIARIO!P464</f>
        <v/>
      </c>
      <c r="Q463" s="6">
        <f t="shared" si="54"/>
        <v>0</v>
      </c>
      <c r="R463" s="54" t="str">
        <f t="shared" si="55"/>
        <v>OK</v>
      </c>
      <c r="S463" s="3" t="str">
        <f t="shared" si="56"/>
        <v>jan/yy</v>
      </c>
      <c r="T463" s="3">
        <f t="shared" si="57"/>
        <v>1</v>
      </c>
      <c r="U463" s="3">
        <f t="shared" si="58"/>
        <v>1900</v>
      </c>
      <c r="V463" s="6">
        <f t="shared" si="59"/>
        <v>0</v>
      </c>
      <c r="W463" s="3" t="str">
        <f t="shared" si="60"/>
        <v>CRÍTICO</v>
      </c>
    </row>
    <row r="464" spans="1:23" x14ac:dyDescent="0.25">
      <c r="A464" s="2">
        <f>CONTROLE_DIARIO!A465</f>
        <v>0</v>
      </c>
      <c r="B464" s="51">
        <f>CONTROLE_DIARIO!B465</f>
        <v>0</v>
      </c>
      <c r="C464" s="3">
        <f>CONTROLE_DIARIO!C465</f>
        <v>0</v>
      </c>
      <c r="D464" s="3">
        <f>CONTROLE_DIARIO!D465</f>
        <v>0</v>
      </c>
      <c r="E464" s="3">
        <f>CONTROLE_DIARIO!E465</f>
        <v>0</v>
      </c>
      <c r="F464" s="3">
        <f>CONTROLE_DIARIO!F465</f>
        <v>0</v>
      </c>
      <c r="G464" s="3">
        <f>CONTROLE_DIARIO!G465</f>
        <v>0</v>
      </c>
      <c r="H464" s="3">
        <f>CONTROLE_DIARIO!H465</f>
        <v>0</v>
      </c>
      <c r="I464" s="3">
        <f>CONTROLE_DIARIO!I465</f>
        <v>0</v>
      </c>
      <c r="J464" s="3" t="str">
        <f>CONTROLE_DIARIO!J465</f>
        <v/>
      </c>
      <c r="K464" s="3" t="str">
        <f>CONTROLE_DIARIO!K465</f>
        <v/>
      </c>
      <c r="L464" s="51">
        <f>CONTROLE_DIARIO!L465</f>
        <v>0</v>
      </c>
      <c r="M464" s="51">
        <f>CONTROLE_DIARIO!M465</f>
        <v>0</v>
      </c>
      <c r="N464" s="3">
        <f>CONTROLE_DIARIO!N465</f>
        <v>0</v>
      </c>
      <c r="O464" s="3" t="str">
        <f>CONTROLE_DIARIO!O465</f>
        <v/>
      </c>
      <c r="P464" s="51" t="str">
        <f>CONTROLE_DIARIO!P465</f>
        <v/>
      </c>
      <c r="Q464" s="6">
        <f t="shared" si="54"/>
        <v>0</v>
      </c>
      <c r="R464" s="54" t="str">
        <f t="shared" si="55"/>
        <v>OK</v>
      </c>
      <c r="S464" s="3" t="str">
        <f t="shared" si="56"/>
        <v>jan/yy</v>
      </c>
      <c r="T464" s="3">
        <f t="shared" si="57"/>
        <v>1</v>
      </c>
      <c r="U464" s="3">
        <f t="shared" si="58"/>
        <v>1900</v>
      </c>
      <c r="V464" s="6">
        <f t="shared" si="59"/>
        <v>0</v>
      </c>
      <c r="W464" s="3" t="str">
        <f t="shared" si="60"/>
        <v>CRÍTICO</v>
      </c>
    </row>
    <row r="465" spans="1:23" x14ac:dyDescent="0.25">
      <c r="A465" s="2">
        <f>CONTROLE_DIARIO!A466</f>
        <v>0</v>
      </c>
      <c r="B465" s="51">
        <f>CONTROLE_DIARIO!B466</f>
        <v>0</v>
      </c>
      <c r="C465" s="3">
        <f>CONTROLE_DIARIO!C466</f>
        <v>0</v>
      </c>
      <c r="D465" s="3">
        <f>CONTROLE_DIARIO!D466</f>
        <v>0</v>
      </c>
      <c r="E465" s="3">
        <f>CONTROLE_DIARIO!E466</f>
        <v>0</v>
      </c>
      <c r="F465" s="3">
        <f>CONTROLE_DIARIO!F466</f>
        <v>0</v>
      </c>
      <c r="G465" s="3">
        <f>CONTROLE_DIARIO!G466</f>
        <v>0</v>
      </c>
      <c r="H465" s="3">
        <f>CONTROLE_DIARIO!H466</f>
        <v>0</v>
      </c>
      <c r="I465" s="3">
        <f>CONTROLE_DIARIO!I466</f>
        <v>0</v>
      </c>
      <c r="J465" s="3" t="str">
        <f>CONTROLE_DIARIO!J466</f>
        <v/>
      </c>
      <c r="K465" s="3" t="str">
        <f>CONTROLE_DIARIO!K466</f>
        <v/>
      </c>
      <c r="L465" s="51">
        <f>CONTROLE_DIARIO!L466</f>
        <v>0</v>
      </c>
      <c r="M465" s="51">
        <f>CONTROLE_DIARIO!M466</f>
        <v>0</v>
      </c>
      <c r="N465" s="3">
        <f>CONTROLE_DIARIO!N466</f>
        <v>0</v>
      </c>
      <c r="O465" s="3" t="str">
        <f>CONTROLE_DIARIO!O466</f>
        <v/>
      </c>
      <c r="P465" s="51" t="str">
        <f>CONTROLE_DIARIO!P466</f>
        <v/>
      </c>
      <c r="Q465" s="6">
        <f t="shared" si="54"/>
        <v>0</v>
      </c>
      <c r="R465" s="54" t="str">
        <f t="shared" si="55"/>
        <v>OK</v>
      </c>
      <c r="S465" s="3" t="str">
        <f t="shared" si="56"/>
        <v>jan/yy</v>
      </c>
      <c r="T465" s="3">
        <f t="shared" si="57"/>
        <v>1</v>
      </c>
      <c r="U465" s="3">
        <f t="shared" si="58"/>
        <v>1900</v>
      </c>
      <c r="V465" s="6">
        <f t="shared" si="59"/>
        <v>0</v>
      </c>
      <c r="W465" s="3" t="str">
        <f t="shared" si="60"/>
        <v>CRÍTICO</v>
      </c>
    </row>
    <row r="466" spans="1:23" x14ac:dyDescent="0.25">
      <c r="A466" s="2">
        <f>CONTROLE_DIARIO!A467</f>
        <v>0</v>
      </c>
      <c r="B466" s="51">
        <f>CONTROLE_DIARIO!B467</f>
        <v>0</v>
      </c>
      <c r="C466" s="3">
        <f>CONTROLE_DIARIO!C467</f>
        <v>0</v>
      </c>
      <c r="D466" s="3">
        <f>CONTROLE_DIARIO!D467</f>
        <v>0</v>
      </c>
      <c r="E466" s="3">
        <f>CONTROLE_DIARIO!E467</f>
        <v>0</v>
      </c>
      <c r="F466" s="3">
        <f>CONTROLE_DIARIO!F467</f>
        <v>0</v>
      </c>
      <c r="G466" s="3">
        <f>CONTROLE_DIARIO!G467</f>
        <v>0</v>
      </c>
      <c r="H466" s="3">
        <f>CONTROLE_DIARIO!H467</f>
        <v>0</v>
      </c>
      <c r="I466" s="3">
        <f>CONTROLE_DIARIO!I467</f>
        <v>0</v>
      </c>
      <c r="J466" s="3" t="str">
        <f>CONTROLE_DIARIO!J467</f>
        <v/>
      </c>
      <c r="K466" s="3" t="str">
        <f>CONTROLE_DIARIO!K467</f>
        <v/>
      </c>
      <c r="L466" s="51">
        <f>CONTROLE_DIARIO!L467</f>
        <v>0</v>
      </c>
      <c r="M466" s="51">
        <f>CONTROLE_DIARIO!M467</f>
        <v>0</v>
      </c>
      <c r="N466" s="3">
        <f>CONTROLE_DIARIO!N467</f>
        <v>0</v>
      </c>
      <c r="O466" s="3" t="str">
        <f>CONTROLE_DIARIO!O467</f>
        <v/>
      </c>
      <c r="P466" s="51" t="str">
        <f>CONTROLE_DIARIO!P467</f>
        <v/>
      </c>
      <c r="Q466" s="6">
        <f t="shared" si="54"/>
        <v>0</v>
      </c>
      <c r="R466" s="54" t="str">
        <f t="shared" si="55"/>
        <v>OK</v>
      </c>
      <c r="S466" s="3" t="str">
        <f t="shared" si="56"/>
        <v>jan/yy</v>
      </c>
      <c r="T466" s="3">
        <f t="shared" si="57"/>
        <v>1</v>
      </c>
      <c r="U466" s="3">
        <f t="shared" si="58"/>
        <v>1900</v>
      </c>
      <c r="V466" s="6">
        <f t="shared" si="59"/>
        <v>0</v>
      </c>
      <c r="W466" s="3" t="str">
        <f t="shared" si="60"/>
        <v>CRÍTICO</v>
      </c>
    </row>
    <row r="467" spans="1:23" x14ac:dyDescent="0.25">
      <c r="A467" s="2">
        <f>CONTROLE_DIARIO!A468</f>
        <v>0</v>
      </c>
      <c r="B467" s="51">
        <f>CONTROLE_DIARIO!B468</f>
        <v>0</v>
      </c>
      <c r="C467" s="3">
        <f>CONTROLE_DIARIO!C468</f>
        <v>0</v>
      </c>
      <c r="D467" s="3">
        <f>CONTROLE_DIARIO!D468</f>
        <v>0</v>
      </c>
      <c r="E467" s="3">
        <f>CONTROLE_DIARIO!E468</f>
        <v>0</v>
      </c>
      <c r="F467" s="3">
        <f>CONTROLE_DIARIO!F468</f>
        <v>0</v>
      </c>
      <c r="G467" s="3">
        <f>CONTROLE_DIARIO!G468</f>
        <v>0</v>
      </c>
      <c r="H467" s="3">
        <f>CONTROLE_DIARIO!H468</f>
        <v>0</v>
      </c>
      <c r="I467" s="3">
        <f>CONTROLE_DIARIO!I468</f>
        <v>0</v>
      </c>
      <c r="J467" s="3" t="str">
        <f>CONTROLE_DIARIO!J468</f>
        <v/>
      </c>
      <c r="K467" s="3" t="str">
        <f>CONTROLE_DIARIO!K468</f>
        <v/>
      </c>
      <c r="L467" s="51">
        <f>CONTROLE_DIARIO!L468</f>
        <v>0</v>
      </c>
      <c r="M467" s="51">
        <f>CONTROLE_DIARIO!M468</f>
        <v>0</v>
      </c>
      <c r="N467" s="3">
        <f>CONTROLE_DIARIO!N468</f>
        <v>0</v>
      </c>
      <c r="O467" s="3" t="str">
        <f>CONTROLE_DIARIO!O468</f>
        <v/>
      </c>
      <c r="P467" s="51" t="str">
        <f>CONTROLE_DIARIO!P468</f>
        <v/>
      </c>
      <c r="Q467" s="6">
        <f t="shared" si="54"/>
        <v>0</v>
      </c>
      <c r="R467" s="54" t="str">
        <f t="shared" si="55"/>
        <v>OK</v>
      </c>
      <c r="S467" s="3" t="str">
        <f t="shared" si="56"/>
        <v>jan/yy</v>
      </c>
      <c r="T467" s="3">
        <f t="shared" si="57"/>
        <v>1</v>
      </c>
      <c r="U467" s="3">
        <f t="shared" si="58"/>
        <v>1900</v>
      </c>
      <c r="V467" s="6">
        <f t="shared" si="59"/>
        <v>0</v>
      </c>
      <c r="W467" s="3" t="str">
        <f t="shared" si="60"/>
        <v>CRÍTICO</v>
      </c>
    </row>
    <row r="468" spans="1:23" x14ac:dyDescent="0.25">
      <c r="A468" s="2">
        <f>CONTROLE_DIARIO!A469</f>
        <v>0</v>
      </c>
      <c r="B468" s="51">
        <f>CONTROLE_DIARIO!B469</f>
        <v>0</v>
      </c>
      <c r="C468" s="3">
        <f>CONTROLE_DIARIO!C469</f>
        <v>0</v>
      </c>
      <c r="D468" s="3">
        <f>CONTROLE_DIARIO!D469</f>
        <v>0</v>
      </c>
      <c r="E468" s="3">
        <f>CONTROLE_DIARIO!E469</f>
        <v>0</v>
      </c>
      <c r="F468" s="3">
        <f>CONTROLE_DIARIO!F469</f>
        <v>0</v>
      </c>
      <c r="G468" s="3">
        <f>CONTROLE_DIARIO!G469</f>
        <v>0</v>
      </c>
      <c r="H468" s="3">
        <f>CONTROLE_DIARIO!H469</f>
        <v>0</v>
      </c>
      <c r="I468" s="3">
        <f>CONTROLE_DIARIO!I469</f>
        <v>0</v>
      </c>
      <c r="J468" s="3" t="str">
        <f>CONTROLE_DIARIO!J469</f>
        <v/>
      </c>
      <c r="K468" s="3" t="str">
        <f>CONTROLE_DIARIO!K469</f>
        <v/>
      </c>
      <c r="L468" s="51">
        <f>CONTROLE_DIARIO!L469</f>
        <v>0</v>
      </c>
      <c r="M468" s="51">
        <f>CONTROLE_DIARIO!M469</f>
        <v>0</v>
      </c>
      <c r="N468" s="3">
        <f>CONTROLE_DIARIO!N469</f>
        <v>0</v>
      </c>
      <c r="O468" s="3" t="str">
        <f>CONTROLE_DIARIO!O469</f>
        <v/>
      </c>
      <c r="P468" s="51" t="str">
        <f>CONTROLE_DIARIO!P469</f>
        <v/>
      </c>
      <c r="Q468" s="6">
        <f t="shared" si="54"/>
        <v>0</v>
      </c>
      <c r="R468" s="54" t="str">
        <f t="shared" si="55"/>
        <v>OK</v>
      </c>
      <c r="S468" s="3" t="str">
        <f t="shared" si="56"/>
        <v>jan/yy</v>
      </c>
      <c r="T468" s="3">
        <f t="shared" si="57"/>
        <v>1</v>
      </c>
      <c r="U468" s="3">
        <f t="shared" si="58"/>
        <v>1900</v>
      </c>
      <c r="V468" s="6">
        <f t="shared" si="59"/>
        <v>0</v>
      </c>
      <c r="W468" s="3" t="str">
        <f t="shared" si="60"/>
        <v>CRÍTICO</v>
      </c>
    </row>
    <row r="469" spans="1:23" x14ac:dyDescent="0.25">
      <c r="A469" s="2">
        <f>CONTROLE_DIARIO!A470</f>
        <v>0</v>
      </c>
      <c r="B469" s="51">
        <f>CONTROLE_DIARIO!B470</f>
        <v>0</v>
      </c>
      <c r="C469" s="3">
        <f>CONTROLE_DIARIO!C470</f>
        <v>0</v>
      </c>
      <c r="D469" s="3">
        <f>CONTROLE_DIARIO!D470</f>
        <v>0</v>
      </c>
      <c r="E469" s="3">
        <f>CONTROLE_DIARIO!E470</f>
        <v>0</v>
      </c>
      <c r="F469" s="3">
        <f>CONTROLE_DIARIO!F470</f>
        <v>0</v>
      </c>
      <c r="G469" s="3">
        <f>CONTROLE_DIARIO!G470</f>
        <v>0</v>
      </c>
      <c r="H469" s="3">
        <f>CONTROLE_DIARIO!H470</f>
        <v>0</v>
      </c>
      <c r="I469" s="3">
        <f>CONTROLE_DIARIO!I470</f>
        <v>0</v>
      </c>
      <c r="J469" s="3" t="str">
        <f>CONTROLE_DIARIO!J470</f>
        <v/>
      </c>
      <c r="K469" s="3" t="str">
        <f>CONTROLE_DIARIO!K470</f>
        <v/>
      </c>
      <c r="L469" s="51">
        <f>CONTROLE_DIARIO!L470</f>
        <v>0</v>
      </c>
      <c r="M469" s="51">
        <f>CONTROLE_DIARIO!M470</f>
        <v>0</v>
      </c>
      <c r="N469" s="3">
        <f>CONTROLE_DIARIO!N470</f>
        <v>0</v>
      </c>
      <c r="O469" s="3" t="str">
        <f>CONTROLE_DIARIO!O470</f>
        <v/>
      </c>
      <c r="P469" s="51" t="str">
        <f>CONTROLE_DIARIO!P470</f>
        <v/>
      </c>
      <c r="Q469" s="6">
        <f t="shared" si="54"/>
        <v>0</v>
      </c>
      <c r="R469" s="54" t="str">
        <f t="shared" si="55"/>
        <v>OK</v>
      </c>
      <c r="S469" s="3" t="str">
        <f t="shared" si="56"/>
        <v>jan/yy</v>
      </c>
      <c r="T469" s="3">
        <f t="shared" si="57"/>
        <v>1</v>
      </c>
      <c r="U469" s="3">
        <f t="shared" si="58"/>
        <v>1900</v>
      </c>
      <c r="V469" s="6">
        <f t="shared" si="59"/>
        <v>0</v>
      </c>
      <c r="W469" s="3" t="str">
        <f t="shared" si="60"/>
        <v>CRÍTICO</v>
      </c>
    </row>
    <row r="470" spans="1:23" x14ac:dyDescent="0.25">
      <c r="A470" s="2">
        <f>CONTROLE_DIARIO!A471</f>
        <v>0</v>
      </c>
      <c r="B470" s="51">
        <f>CONTROLE_DIARIO!B471</f>
        <v>0</v>
      </c>
      <c r="C470" s="3">
        <f>CONTROLE_DIARIO!C471</f>
        <v>0</v>
      </c>
      <c r="D470" s="3">
        <f>CONTROLE_DIARIO!D471</f>
        <v>0</v>
      </c>
      <c r="E470" s="3">
        <f>CONTROLE_DIARIO!E471</f>
        <v>0</v>
      </c>
      <c r="F470" s="3">
        <f>CONTROLE_DIARIO!F471</f>
        <v>0</v>
      </c>
      <c r="G470" s="3">
        <f>CONTROLE_DIARIO!G471</f>
        <v>0</v>
      </c>
      <c r="H470" s="3">
        <f>CONTROLE_DIARIO!H471</f>
        <v>0</v>
      </c>
      <c r="I470" s="3">
        <f>CONTROLE_DIARIO!I471</f>
        <v>0</v>
      </c>
      <c r="J470" s="3" t="str">
        <f>CONTROLE_DIARIO!J471</f>
        <v/>
      </c>
      <c r="K470" s="3" t="str">
        <f>CONTROLE_DIARIO!K471</f>
        <v/>
      </c>
      <c r="L470" s="51">
        <f>CONTROLE_DIARIO!L471</f>
        <v>0</v>
      </c>
      <c r="M470" s="51">
        <f>CONTROLE_DIARIO!M471</f>
        <v>0</v>
      </c>
      <c r="N470" s="3">
        <f>CONTROLE_DIARIO!N471</f>
        <v>0</v>
      </c>
      <c r="O470" s="3" t="str">
        <f>CONTROLE_DIARIO!O471</f>
        <v/>
      </c>
      <c r="P470" s="51" t="str">
        <f>CONTROLE_DIARIO!P471</f>
        <v/>
      </c>
      <c r="Q470" s="6">
        <f t="shared" si="54"/>
        <v>0</v>
      </c>
      <c r="R470" s="54" t="str">
        <f t="shared" si="55"/>
        <v>OK</v>
      </c>
      <c r="S470" s="3" t="str">
        <f t="shared" si="56"/>
        <v>jan/yy</v>
      </c>
      <c r="T470" s="3">
        <f t="shared" si="57"/>
        <v>1</v>
      </c>
      <c r="U470" s="3">
        <f t="shared" si="58"/>
        <v>1900</v>
      </c>
      <c r="V470" s="6">
        <f t="shared" si="59"/>
        <v>0</v>
      </c>
      <c r="W470" s="3" t="str">
        <f t="shared" si="60"/>
        <v>CRÍTICO</v>
      </c>
    </row>
    <row r="471" spans="1:23" x14ac:dyDescent="0.25">
      <c r="A471" s="2">
        <f>CONTROLE_DIARIO!A472</f>
        <v>0</v>
      </c>
      <c r="B471" s="51">
        <f>CONTROLE_DIARIO!B472</f>
        <v>0</v>
      </c>
      <c r="C471" s="3">
        <f>CONTROLE_DIARIO!C472</f>
        <v>0</v>
      </c>
      <c r="D471" s="3">
        <f>CONTROLE_DIARIO!D472</f>
        <v>0</v>
      </c>
      <c r="E471" s="3">
        <f>CONTROLE_DIARIO!E472</f>
        <v>0</v>
      </c>
      <c r="F471" s="3">
        <f>CONTROLE_DIARIO!F472</f>
        <v>0</v>
      </c>
      <c r="G471" s="3">
        <f>CONTROLE_DIARIO!G472</f>
        <v>0</v>
      </c>
      <c r="H471" s="3">
        <f>CONTROLE_DIARIO!H472</f>
        <v>0</v>
      </c>
      <c r="I471" s="3">
        <f>CONTROLE_DIARIO!I472</f>
        <v>0</v>
      </c>
      <c r="J471" s="3" t="str">
        <f>CONTROLE_DIARIO!J472</f>
        <v/>
      </c>
      <c r="K471" s="3" t="str">
        <f>CONTROLE_DIARIO!K472</f>
        <v/>
      </c>
      <c r="L471" s="51">
        <f>CONTROLE_DIARIO!L472</f>
        <v>0</v>
      </c>
      <c r="M471" s="51">
        <f>CONTROLE_DIARIO!M472</f>
        <v>0</v>
      </c>
      <c r="N471" s="3">
        <f>CONTROLE_DIARIO!N472</f>
        <v>0</v>
      </c>
      <c r="O471" s="3" t="str">
        <f>CONTROLE_DIARIO!O472</f>
        <v/>
      </c>
      <c r="P471" s="51" t="str">
        <f>CONTROLE_DIARIO!P472</f>
        <v/>
      </c>
      <c r="Q471" s="6">
        <f t="shared" si="54"/>
        <v>0</v>
      </c>
      <c r="R471" s="54" t="str">
        <f t="shared" si="55"/>
        <v>OK</v>
      </c>
      <c r="S471" s="3" t="str">
        <f t="shared" si="56"/>
        <v>jan/yy</v>
      </c>
      <c r="T471" s="3">
        <f t="shared" si="57"/>
        <v>1</v>
      </c>
      <c r="U471" s="3">
        <f t="shared" si="58"/>
        <v>1900</v>
      </c>
      <c r="V471" s="6">
        <f t="shared" si="59"/>
        <v>0</v>
      </c>
      <c r="W471" s="3" t="str">
        <f t="shared" si="60"/>
        <v>CRÍTICO</v>
      </c>
    </row>
    <row r="472" spans="1:23" x14ac:dyDescent="0.25">
      <c r="A472" s="2">
        <f>CONTROLE_DIARIO!A473</f>
        <v>0</v>
      </c>
      <c r="B472" s="51">
        <f>CONTROLE_DIARIO!B473</f>
        <v>0</v>
      </c>
      <c r="C472" s="3">
        <f>CONTROLE_DIARIO!C473</f>
        <v>0</v>
      </c>
      <c r="D472" s="3">
        <f>CONTROLE_DIARIO!D473</f>
        <v>0</v>
      </c>
      <c r="E472" s="3">
        <f>CONTROLE_DIARIO!E473</f>
        <v>0</v>
      </c>
      <c r="F472" s="3">
        <f>CONTROLE_DIARIO!F473</f>
        <v>0</v>
      </c>
      <c r="G472" s="3">
        <f>CONTROLE_DIARIO!G473</f>
        <v>0</v>
      </c>
      <c r="H472" s="3">
        <f>CONTROLE_DIARIO!H473</f>
        <v>0</v>
      </c>
      <c r="I472" s="3">
        <f>CONTROLE_DIARIO!I473</f>
        <v>0</v>
      </c>
      <c r="J472" s="3" t="str">
        <f>CONTROLE_DIARIO!J473</f>
        <v/>
      </c>
      <c r="K472" s="3" t="str">
        <f>CONTROLE_DIARIO!K473</f>
        <v/>
      </c>
      <c r="L472" s="51">
        <f>CONTROLE_DIARIO!L473</f>
        <v>0</v>
      </c>
      <c r="M472" s="51">
        <f>CONTROLE_DIARIO!M473</f>
        <v>0</v>
      </c>
      <c r="N472" s="3">
        <f>CONTROLE_DIARIO!N473</f>
        <v>0</v>
      </c>
      <c r="O472" s="3" t="str">
        <f>CONTROLE_DIARIO!O473</f>
        <v/>
      </c>
      <c r="P472" s="51" t="str">
        <f>CONTROLE_DIARIO!P473</f>
        <v/>
      </c>
      <c r="Q472" s="6">
        <f t="shared" si="54"/>
        <v>0</v>
      </c>
      <c r="R472" s="54" t="str">
        <f t="shared" si="55"/>
        <v>OK</v>
      </c>
      <c r="S472" s="3" t="str">
        <f t="shared" si="56"/>
        <v>jan/yy</v>
      </c>
      <c r="T472" s="3">
        <f t="shared" si="57"/>
        <v>1</v>
      </c>
      <c r="U472" s="3">
        <f t="shared" si="58"/>
        <v>1900</v>
      </c>
      <c r="V472" s="6">
        <f t="shared" si="59"/>
        <v>0</v>
      </c>
      <c r="W472" s="3" t="str">
        <f t="shared" si="60"/>
        <v>CRÍTICO</v>
      </c>
    </row>
    <row r="473" spans="1:23" x14ac:dyDescent="0.25">
      <c r="A473" s="2">
        <f>CONTROLE_DIARIO!A474</f>
        <v>0</v>
      </c>
      <c r="B473" s="51">
        <f>CONTROLE_DIARIO!B474</f>
        <v>0</v>
      </c>
      <c r="C473" s="3">
        <f>CONTROLE_DIARIO!C474</f>
        <v>0</v>
      </c>
      <c r="D473" s="3">
        <f>CONTROLE_DIARIO!D474</f>
        <v>0</v>
      </c>
      <c r="E473" s="3">
        <f>CONTROLE_DIARIO!E474</f>
        <v>0</v>
      </c>
      <c r="F473" s="3">
        <f>CONTROLE_DIARIO!F474</f>
        <v>0</v>
      </c>
      <c r="G473" s="3">
        <f>CONTROLE_DIARIO!G474</f>
        <v>0</v>
      </c>
      <c r="H473" s="3">
        <f>CONTROLE_DIARIO!H474</f>
        <v>0</v>
      </c>
      <c r="I473" s="3">
        <f>CONTROLE_DIARIO!I474</f>
        <v>0</v>
      </c>
      <c r="J473" s="3" t="str">
        <f>CONTROLE_DIARIO!J474</f>
        <v/>
      </c>
      <c r="K473" s="3" t="str">
        <f>CONTROLE_DIARIO!K474</f>
        <v/>
      </c>
      <c r="L473" s="51">
        <f>CONTROLE_DIARIO!L474</f>
        <v>0</v>
      </c>
      <c r="M473" s="51">
        <f>CONTROLE_DIARIO!M474</f>
        <v>0</v>
      </c>
      <c r="N473" s="3">
        <f>CONTROLE_DIARIO!N474</f>
        <v>0</v>
      </c>
      <c r="O473" s="3" t="str">
        <f>CONTROLE_DIARIO!O474</f>
        <v/>
      </c>
      <c r="P473" s="51" t="str">
        <f>CONTROLE_DIARIO!P474</f>
        <v/>
      </c>
      <c r="Q473" s="6">
        <f t="shared" si="54"/>
        <v>0</v>
      </c>
      <c r="R473" s="54" t="str">
        <f t="shared" si="55"/>
        <v>OK</v>
      </c>
      <c r="S473" s="3" t="str">
        <f t="shared" si="56"/>
        <v>jan/yy</v>
      </c>
      <c r="T473" s="3">
        <f t="shared" si="57"/>
        <v>1</v>
      </c>
      <c r="U473" s="3">
        <f t="shared" si="58"/>
        <v>1900</v>
      </c>
      <c r="V473" s="6">
        <f t="shared" si="59"/>
        <v>0</v>
      </c>
      <c r="W473" s="3" t="str">
        <f t="shared" si="60"/>
        <v>CRÍTICO</v>
      </c>
    </row>
    <row r="474" spans="1:23" x14ac:dyDescent="0.25">
      <c r="A474" s="2">
        <f>CONTROLE_DIARIO!A475</f>
        <v>0</v>
      </c>
      <c r="B474" s="51">
        <f>CONTROLE_DIARIO!B475</f>
        <v>0</v>
      </c>
      <c r="C474" s="3">
        <f>CONTROLE_DIARIO!C475</f>
        <v>0</v>
      </c>
      <c r="D474" s="3">
        <f>CONTROLE_DIARIO!D475</f>
        <v>0</v>
      </c>
      <c r="E474" s="3">
        <f>CONTROLE_DIARIO!E475</f>
        <v>0</v>
      </c>
      <c r="F474" s="3">
        <f>CONTROLE_DIARIO!F475</f>
        <v>0</v>
      </c>
      <c r="G474" s="3">
        <f>CONTROLE_DIARIO!G475</f>
        <v>0</v>
      </c>
      <c r="H474" s="3">
        <f>CONTROLE_DIARIO!H475</f>
        <v>0</v>
      </c>
      <c r="I474" s="3">
        <f>CONTROLE_DIARIO!I475</f>
        <v>0</v>
      </c>
      <c r="J474" s="3" t="str">
        <f>CONTROLE_DIARIO!J475</f>
        <v/>
      </c>
      <c r="K474" s="3" t="str">
        <f>CONTROLE_DIARIO!K475</f>
        <v/>
      </c>
      <c r="L474" s="51">
        <f>CONTROLE_DIARIO!L475</f>
        <v>0</v>
      </c>
      <c r="M474" s="51">
        <f>CONTROLE_DIARIO!M475</f>
        <v>0</v>
      </c>
      <c r="N474" s="3">
        <f>CONTROLE_DIARIO!N475</f>
        <v>0</v>
      </c>
      <c r="O474" s="3" t="str">
        <f>CONTROLE_DIARIO!O475</f>
        <v/>
      </c>
      <c r="P474" s="51" t="str">
        <f>CONTROLE_DIARIO!P475</f>
        <v/>
      </c>
      <c r="Q474" s="6">
        <f t="shared" si="54"/>
        <v>0</v>
      </c>
      <c r="R474" s="54" t="str">
        <f t="shared" si="55"/>
        <v>OK</v>
      </c>
      <c r="S474" s="3" t="str">
        <f t="shared" si="56"/>
        <v>jan/yy</v>
      </c>
      <c r="T474" s="3">
        <f t="shared" si="57"/>
        <v>1</v>
      </c>
      <c r="U474" s="3">
        <f t="shared" si="58"/>
        <v>1900</v>
      </c>
      <c r="V474" s="6">
        <f t="shared" si="59"/>
        <v>0</v>
      </c>
      <c r="W474" s="3" t="str">
        <f t="shared" si="60"/>
        <v>CRÍTICO</v>
      </c>
    </row>
    <row r="475" spans="1:23" x14ac:dyDescent="0.25">
      <c r="A475" s="2">
        <f>CONTROLE_DIARIO!A476</f>
        <v>0</v>
      </c>
      <c r="B475" s="51">
        <f>CONTROLE_DIARIO!B476</f>
        <v>0</v>
      </c>
      <c r="C475" s="3">
        <f>CONTROLE_DIARIO!C476</f>
        <v>0</v>
      </c>
      <c r="D475" s="3">
        <f>CONTROLE_DIARIO!D476</f>
        <v>0</v>
      </c>
      <c r="E475" s="3">
        <f>CONTROLE_DIARIO!E476</f>
        <v>0</v>
      </c>
      <c r="F475" s="3">
        <f>CONTROLE_DIARIO!F476</f>
        <v>0</v>
      </c>
      <c r="G475" s="3">
        <f>CONTROLE_DIARIO!G476</f>
        <v>0</v>
      </c>
      <c r="H475" s="3">
        <f>CONTROLE_DIARIO!H476</f>
        <v>0</v>
      </c>
      <c r="I475" s="3">
        <f>CONTROLE_DIARIO!I476</f>
        <v>0</v>
      </c>
      <c r="J475" s="3" t="str">
        <f>CONTROLE_DIARIO!J476</f>
        <v/>
      </c>
      <c r="K475" s="3" t="str">
        <f>CONTROLE_DIARIO!K476</f>
        <v/>
      </c>
      <c r="L475" s="51">
        <f>CONTROLE_DIARIO!L476</f>
        <v>0</v>
      </c>
      <c r="M475" s="51">
        <f>CONTROLE_DIARIO!M476</f>
        <v>0</v>
      </c>
      <c r="N475" s="3">
        <f>CONTROLE_DIARIO!N476</f>
        <v>0</v>
      </c>
      <c r="O475" s="3" t="str">
        <f>CONTROLE_DIARIO!O476</f>
        <v/>
      </c>
      <c r="P475" s="51" t="str">
        <f>CONTROLE_DIARIO!P476</f>
        <v/>
      </c>
      <c r="Q475" s="6">
        <f t="shared" si="54"/>
        <v>0</v>
      </c>
      <c r="R475" s="54" t="str">
        <f t="shared" si="55"/>
        <v>OK</v>
      </c>
      <c r="S475" s="3" t="str">
        <f t="shared" si="56"/>
        <v>jan/yy</v>
      </c>
      <c r="T475" s="3">
        <f t="shared" si="57"/>
        <v>1</v>
      </c>
      <c r="U475" s="3">
        <f t="shared" si="58"/>
        <v>1900</v>
      </c>
      <c r="V475" s="6">
        <f t="shared" si="59"/>
        <v>0</v>
      </c>
      <c r="W475" s="3" t="str">
        <f t="shared" si="60"/>
        <v>CRÍTICO</v>
      </c>
    </row>
    <row r="476" spans="1:23" x14ac:dyDescent="0.25">
      <c r="A476" s="2">
        <f>CONTROLE_DIARIO!A477</f>
        <v>0</v>
      </c>
      <c r="B476" s="51">
        <f>CONTROLE_DIARIO!B477</f>
        <v>0</v>
      </c>
      <c r="C476" s="3">
        <f>CONTROLE_DIARIO!C477</f>
        <v>0</v>
      </c>
      <c r="D476" s="3">
        <f>CONTROLE_DIARIO!D477</f>
        <v>0</v>
      </c>
      <c r="E476" s="3">
        <f>CONTROLE_DIARIO!E477</f>
        <v>0</v>
      </c>
      <c r="F476" s="3">
        <f>CONTROLE_DIARIO!F477</f>
        <v>0</v>
      </c>
      <c r="G476" s="3">
        <f>CONTROLE_DIARIO!G477</f>
        <v>0</v>
      </c>
      <c r="H476" s="3">
        <f>CONTROLE_DIARIO!H477</f>
        <v>0</v>
      </c>
      <c r="I476" s="3">
        <f>CONTROLE_DIARIO!I477</f>
        <v>0</v>
      </c>
      <c r="J476" s="3" t="str">
        <f>CONTROLE_DIARIO!J477</f>
        <v/>
      </c>
      <c r="K476" s="3" t="str">
        <f>CONTROLE_DIARIO!K477</f>
        <v/>
      </c>
      <c r="L476" s="51">
        <f>CONTROLE_DIARIO!L477</f>
        <v>0</v>
      </c>
      <c r="M476" s="51">
        <f>CONTROLE_DIARIO!M477</f>
        <v>0</v>
      </c>
      <c r="N476" s="3">
        <f>CONTROLE_DIARIO!N477</f>
        <v>0</v>
      </c>
      <c r="O476" s="3" t="str">
        <f>CONTROLE_DIARIO!O477</f>
        <v/>
      </c>
      <c r="P476" s="51" t="str">
        <f>CONTROLE_DIARIO!P477</f>
        <v/>
      </c>
      <c r="Q476" s="6">
        <f t="shared" si="54"/>
        <v>0</v>
      </c>
      <c r="R476" s="54" t="str">
        <f t="shared" si="55"/>
        <v>OK</v>
      </c>
      <c r="S476" s="3" t="str">
        <f t="shared" si="56"/>
        <v>jan/yy</v>
      </c>
      <c r="T476" s="3">
        <f t="shared" si="57"/>
        <v>1</v>
      </c>
      <c r="U476" s="3">
        <f t="shared" si="58"/>
        <v>1900</v>
      </c>
      <c r="V476" s="6">
        <f t="shared" si="59"/>
        <v>0</v>
      </c>
      <c r="W476" s="3" t="str">
        <f t="shared" si="60"/>
        <v>CRÍTICO</v>
      </c>
    </row>
    <row r="477" spans="1:23" x14ac:dyDescent="0.25">
      <c r="A477" s="2">
        <f>CONTROLE_DIARIO!A478</f>
        <v>0</v>
      </c>
      <c r="B477" s="51">
        <f>CONTROLE_DIARIO!B478</f>
        <v>0</v>
      </c>
      <c r="C477" s="3">
        <f>CONTROLE_DIARIO!C478</f>
        <v>0</v>
      </c>
      <c r="D477" s="3">
        <f>CONTROLE_DIARIO!D478</f>
        <v>0</v>
      </c>
      <c r="E477" s="3">
        <f>CONTROLE_DIARIO!E478</f>
        <v>0</v>
      </c>
      <c r="F477" s="3">
        <f>CONTROLE_DIARIO!F478</f>
        <v>0</v>
      </c>
      <c r="G477" s="3">
        <f>CONTROLE_DIARIO!G478</f>
        <v>0</v>
      </c>
      <c r="H477" s="3">
        <f>CONTROLE_DIARIO!H478</f>
        <v>0</v>
      </c>
      <c r="I477" s="3">
        <f>CONTROLE_DIARIO!I478</f>
        <v>0</v>
      </c>
      <c r="J477" s="3" t="str">
        <f>CONTROLE_DIARIO!J478</f>
        <v/>
      </c>
      <c r="K477" s="3" t="str">
        <f>CONTROLE_DIARIO!K478</f>
        <v/>
      </c>
      <c r="L477" s="51">
        <f>CONTROLE_DIARIO!L478</f>
        <v>0</v>
      </c>
      <c r="M477" s="51">
        <f>CONTROLE_DIARIO!M478</f>
        <v>0</v>
      </c>
      <c r="N477" s="3">
        <f>CONTROLE_DIARIO!N478</f>
        <v>0</v>
      </c>
      <c r="O477" s="3" t="str">
        <f>CONTROLE_DIARIO!O478</f>
        <v/>
      </c>
      <c r="P477" s="51" t="str">
        <f>CONTROLE_DIARIO!P478</f>
        <v/>
      </c>
      <c r="Q477" s="6">
        <f t="shared" si="54"/>
        <v>0</v>
      </c>
      <c r="R477" s="54" t="str">
        <f t="shared" si="55"/>
        <v>OK</v>
      </c>
      <c r="S477" s="3" t="str">
        <f t="shared" si="56"/>
        <v>jan/yy</v>
      </c>
      <c r="T477" s="3">
        <f t="shared" si="57"/>
        <v>1</v>
      </c>
      <c r="U477" s="3">
        <f t="shared" si="58"/>
        <v>1900</v>
      </c>
      <c r="V477" s="6">
        <f t="shared" si="59"/>
        <v>0</v>
      </c>
      <c r="W477" s="3" t="str">
        <f t="shared" si="60"/>
        <v>CRÍTICO</v>
      </c>
    </row>
    <row r="478" spans="1:23" x14ac:dyDescent="0.25">
      <c r="A478" s="2">
        <f>CONTROLE_DIARIO!A479</f>
        <v>0</v>
      </c>
      <c r="B478" s="51">
        <f>CONTROLE_DIARIO!B479</f>
        <v>0</v>
      </c>
      <c r="C478" s="3">
        <f>CONTROLE_DIARIO!C479</f>
        <v>0</v>
      </c>
      <c r="D478" s="3">
        <f>CONTROLE_DIARIO!D479</f>
        <v>0</v>
      </c>
      <c r="E478" s="3">
        <f>CONTROLE_DIARIO!E479</f>
        <v>0</v>
      </c>
      <c r="F478" s="3">
        <f>CONTROLE_DIARIO!F479</f>
        <v>0</v>
      </c>
      <c r="G478" s="3">
        <f>CONTROLE_DIARIO!G479</f>
        <v>0</v>
      </c>
      <c r="H478" s="3">
        <f>CONTROLE_DIARIO!H479</f>
        <v>0</v>
      </c>
      <c r="I478" s="3">
        <f>CONTROLE_DIARIO!I479</f>
        <v>0</v>
      </c>
      <c r="J478" s="3" t="str">
        <f>CONTROLE_DIARIO!J479</f>
        <v/>
      </c>
      <c r="K478" s="3" t="str">
        <f>CONTROLE_DIARIO!K479</f>
        <v/>
      </c>
      <c r="L478" s="51">
        <f>CONTROLE_DIARIO!L479</f>
        <v>0</v>
      </c>
      <c r="M478" s="51">
        <f>CONTROLE_DIARIO!M479</f>
        <v>0</v>
      </c>
      <c r="N478" s="3">
        <f>CONTROLE_DIARIO!N479</f>
        <v>0</v>
      </c>
      <c r="O478" s="3" t="str">
        <f>CONTROLE_DIARIO!O479</f>
        <v/>
      </c>
      <c r="P478" s="51" t="str">
        <f>CONTROLE_DIARIO!P479</f>
        <v/>
      </c>
      <c r="Q478" s="6">
        <f t="shared" si="54"/>
        <v>0</v>
      </c>
      <c r="R478" s="54" t="str">
        <f t="shared" si="55"/>
        <v>OK</v>
      </c>
      <c r="S478" s="3" t="str">
        <f t="shared" si="56"/>
        <v>jan/yy</v>
      </c>
      <c r="T478" s="3">
        <f t="shared" si="57"/>
        <v>1</v>
      </c>
      <c r="U478" s="3">
        <f t="shared" si="58"/>
        <v>1900</v>
      </c>
      <c r="V478" s="6">
        <f t="shared" si="59"/>
        <v>0</v>
      </c>
      <c r="W478" s="3" t="str">
        <f t="shared" si="60"/>
        <v>CRÍTICO</v>
      </c>
    </row>
    <row r="479" spans="1:23" x14ac:dyDescent="0.25">
      <c r="A479" s="2">
        <f>CONTROLE_DIARIO!A480</f>
        <v>0</v>
      </c>
      <c r="B479" s="51">
        <f>CONTROLE_DIARIO!B480</f>
        <v>0</v>
      </c>
      <c r="C479" s="3">
        <f>CONTROLE_DIARIO!C480</f>
        <v>0</v>
      </c>
      <c r="D479" s="3">
        <f>CONTROLE_DIARIO!D480</f>
        <v>0</v>
      </c>
      <c r="E479" s="3">
        <f>CONTROLE_DIARIO!E480</f>
        <v>0</v>
      </c>
      <c r="F479" s="3">
        <f>CONTROLE_DIARIO!F480</f>
        <v>0</v>
      </c>
      <c r="G479" s="3">
        <f>CONTROLE_DIARIO!G480</f>
        <v>0</v>
      </c>
      <c r="H479" s="3">
        <f>CONTROLE_DIARIO!H480</f>
        <v>0</v>
      </c>
      <c r="I479" s="3">
        <f>CONTROLE_DIARIO!I480</f>
        <v>0</v>
      </c>
      <c r="J479" s="3" t="str">
        <f>CONTROLE_DIARIO!J480</f>
        <v/>
      </c>
      <c r="K479" s="3" t="str">
        <f>CONTROLE_DIARIO!K480</f>
        <v/>
      </c>
      <c r="L479" s="51">
        <f>CONTROLE_DIARIO!L480</f>
        <v>0</v>
      </c>
      <c r="M479" s="51">
        <f>CONTROLE_DIARIO!M480</f>
        <v>0</v>
      </c>
      <c r="N479" s="3">
        <f>CONTROLE_DIARIO!N480</f>
        <v>0</v>
      </c>
      <c r="O479" s="3" t="str">
        <f>CONTROLE_DIARIO!O480</f>
        <v/>
      </c>
      <c r="P479" s="51" t="str">
        <f>CONTROLE_DIARIO!P480</f>
        <v/>
      </c>
      <c r="Q479" s="6">
        <f t="shared" si="54"/>
        <v>0</v>
      </c>
      <c r="R479" s="54" t="str">
        <f t="shared" si="55"/>
        <v>OK</v>
      </c>
      <c r="S479" s="3" t="str">
        <f t="shared" si="56"/>
        <v>jan/yy</v>
      </c>
      <c r="T479" s="3">
        <f t="shared" si="57"/>
        <v>1</v>
      </c>
      <c r="U479" s="3">
        <f t="shared" si="58"/>
        <v>1900</v>
      </c>
      <c r="V479" s="6">
        <f t="shared" si="59"/>
        <v>0</v>
      </c>
      <c r="W479" s="3" t="str">
        <f t="shared" si="60"/>
        <v>CRÍTICO</v>
      </c>
    </row>
    <row r="480" spans="1:23" x14ac:dyDescent="0.25">
      <c r="A480" s="2">
        <f>CONTROLE_DIARIO!A481</f>
        <v>0</v>
      </c>
      <c r="B480" s="51">
        <f>CONTROLE_DIARIO!B481</f>
        <v>0</v>
      </c>
      <c r="C480" s="3">
        <f>CONTROLE_DIARIO!C481</f>
        <v>0</v>
      </c>
      <c r="D480" s="3">
        <f>CONTROLE_DIARIO!D481</f>
        <v>0</v>
      </c>
      <c r="E480" s="3">
        <f>CONTROLE_DIARIO!E481</f>
        <v>0</v>
      </c>
      <c r="F480" s="3">
        <f>CONTROLE_DIARIO!F481</f>
        <v>0</v>
      </c>
      <c r="G480" s="3">
        <f>CONTROLE_DIARIO!G481</f>
        <v>0</v>
      </c>
      <c r="H480" s="3">
        <f>CONTROLE_DIARIO!H481</f>
        <v>0</v>
      </c>
      <c r="I480" s="3">
        <f>CONTROLE_DIARIO!I481</f>
        <v>0</v>
      </c>
      <c r="J480" s="3" t="str">
        <f>CONTROLE_DIARIO!J481</f>
        <v/>
      </c>
      <c r="K480" s="3" t="str">
        <f>CONTROLE_DIARIO!K481</f>
        <v/>
      </c>
      <c r="L480" s="51">
        <f>CONTROLE_DIARIO!L481</f>
        <v>0</v>
      </c>
      <c r="M480" s="51">
        <f>CONTROLE_DIARIO!M481</f>
        <v>0</v>
      </c>
      <c r="N480" s="3">
        <f>CONTROLE_DIARIO!N481</f>
        <v>0</v>
      </c>
      <c r="O480" s="3" t="str">
        <f>CONTROLE_DIARIO!O481</f>
        <v/>
      </c>
      <c r="P480" s="51" t="str">
        <f>CONTROLE_DIARIO!P481</f>
        <v/>
      </c>
      <c r="Q480" s="6">
        <f t="shared" si="54"/>
        <v>0</v>
      </c>
      <c r="R480" s="54" t="str">
        <f t="shared" si="55"/>
        <v>OK</v>
      </c>
      <c r="S480" s="3" t="str">
        <f t="shared" si="56"/>
        <v>jan/yy</v>
      </c>
      <c r="T480" s="3">
        <f t="shared" si="57"/>
        <v>1</v>
      </c>
      <c r="U480" s="3">
        <f t="shared" si="58"/>
        <v>1900</v>
      </c>
      <c r="V480" s="6">
        <f t="shared" si="59"/>
        <v>0</v>
      </c>
      <c r="W480" s="3" t="str">
        <f t="shared" si="60"/>
        <v>CRÍTICO</v>
      </c>
    </row>
    <row r="481" spans="1:23" x14ac:dyDescent="0.25">
      <c r="A481" s="2">
        <f>CONTROLE_DIARIO!A482</f>
        <v>0</v>
      </c>
      <c r="B481" s="51">
        <f>CONTROLE_DIARIO!B482</f>
        <v>0</v>
      </c>
      <c r="C481" s="3">
        <f>CONTROLE_DIARIO!C482</f>
        <v>0</v>
      </c>
      <c r="D481" s="3">
        <f>CONTROLE_DIARIO!D482</f>
        <v>0</v>
      </c>
      <c r="E481" s="3">
        <f>CONTROLE_DIARIO!E482</f>
        <v>0</v>
      </c>
      <c r="F481" s="3">
        <f>CONTROLE_DIARIO!F482</f>
        <v>0</v>
      </c>
      <c r="G481" s="3">
        <f>CONTROLE_DIARIO!G482</f>
        <v>0</v>
      </c>
      <c r="H481" s="3">
        <f>CONTROLE_DIARIO!H482</f>
        <v>0</v>
      </c>
      <c r="I481" s="3">
        <f>CONTROLE_DIARIO!I482</f>
        <v>0</v>
      </c>
      <c r="J481" s="3" t="str">
        <f>CONTROLE_DIARIO!J482</f>
        <v/>
      </c>
      <c r="K481" s="3" t="str">
        <f>CONTROLE_DIARIO!K482</f>
        <v/>
      </c>
      <c r="L481" s="51">
        <f>CONTROLE_DIARIO!L482</f>
        <v>0</v>
      </c>
      <c r="M481" s="51">
        <f>CONTROLE_DIARIO!M482</f>
        <v>0</v>
      </c>
      <c r="N481" s="3">
        <f>CONTROLE_DIARIO!N482</f>
        <v>0</v>
      </c>
      <c r="O481" s="3" t="str">
        <f>CONTROLE_DIARIO!O482</f>
        <v/>
      </c>
      <c r="P481" s="51" t="str">
        <f>CONTROLE_DIARIO!P482</f>
        <v/>
      </c>
      <c r="Q481" s="6">
        <f t="shared" si="54"/>
        <v>0</v>
      </c>
      <c r="R481" s="54" t="str">
        <f t="shared" si="55"/>
        <v>OK</v>
      </c>
      <c r="S481" s="3" t="str">
        <f t="shared" si="56"/>
        <v>jan/yy</v>
      </c>
      <c r="T481" s="3">
        <f t="shared" si="57"/>
        <v>1</v>
      </c>
      <c r="U481" s="3">
        <f t="shared" si="58"/>
        <v>1900</v>
      </c>
      <c r="V481" s="6">
        <f t="shared" si="59"/>
        <v>0</v>
      </c>
      <c r="W481" s="3" t="str">
        <f t="shared" si="60"/>
        <v>CRÍTICO</v>
      </c>
    </row>
    <row r="482" spans="1:23" x14ac:dyDescent="0.25">
      <c r="A482" s="2">
        <f>CONTROLE_DIARIO!A483</f>
        <v>0</v>
      </c>
      <c r="B482" s="51">
        <f>CONTROLE_DIARIO!B483</f>
        <v>0</v>
      </c>
      <c r="C482" s="3">
        <f>CONTROLE_DIARIO!C483</f>
        <v>0</v>
      </c>
      <c r="D482" s="3">
        <f>CONTROLE_DIARIO!D483</f>
        <v>0</v>
      </c>
      <c r="E482" s="3">
        <f>CONTROLE_DIARIO!E483</f>
        <v>0</v>
      </c>
      <c r="F482" s="3">
        <f>CONTROLE_DIARIO!F483</f>
        <v>0</v>
      </c>
      <c r="G482" s="3">
        <f>CONTROLE_DIARIO!G483</f>
        <v>0</v>
      </c>
      <c r="H482" s="3">
        <f>CONTROLE_DIARIO!H483</f>
        <v>0</v>
      </c>
      <c r="I482" s="3">
        <f>CONTROLE_DIARIO!I483</f>
        <v>0</v>
      </c>
      <c r="J482" s="3" t="str">
        <f>CONTROLE_DIARIO!J483</f>
        <v/>
      </c>
      <c r="K482" s="3" t="str">
        <f>CONTROLE_DIARIO!K483</f>
        <v/>
      </c>
      <c r="L482" s="51">
        <f>CONTROLE_DIARIO!L483</f>
        <v>0</v>
      </c>
      <c r="M482" s="51">
        <f>CONTROLE_DIARIO!M483</f>
        <v>0</v>
      </c>
      <c r="N482" s="3">
        <f>CONTROLE_DIARIO!N483</f>
        <v>0</v>
      </c>
      <c r="O482" s="3" t="str">
        <f>CONTROLE_DIARIO!O483</f>
        <v/>
      </c>
      <c r="P482" s="51" t="str">
        <f>CONTROLE_DIARIO!P483</f>
        <v/>
      </c>
      <c r="Q482" s="6">
        <f t="shared" si="54"/>
        <v>0</v>
      </c>
      <c r="R482" s="54" t="str">
        <f t="shared" si="55"/>
        <v>OK</v>
      </c>
      <c r="S482" s="3" t="str">
        <f t="shared" si="56"/>
        <v>jan/yy</v>
      </c>
      <c r="T482" s="3">
        <f t="shared" si="57"/>
        <v>1</v>
      </c>
      <c r="U482" s="3">
        <f t="shared" si="58"/>
        <v>1900</v>
      </c>
      <c r="V482" s="6">
        <f t="shared" si="59"/>
        <v>0</v>
      </c>
      <c r="W482" s="3" t="str">
        <f t="shared" si="60"/>
        <v>CRÍTICO</v>
      </c>
    </row>
    <row r="483" spans="1:23" x14ac:dyDescent="0.25">
      <c r="A483" s="2">
        <f>CONTROLE_DIARIO!A484</f>
        <v>0</v>
      </c>
      <c r="B483" s="51">
        <f>CONTROLE_DIARIO!B484</f>
        <v>0</v>
      </c>
      <c r="C483" s="3">
        <f>CONTROLE_DIARIO!C484</f>
        <v>0</v>
      </c>
      <c r="D483" s="3">
        <f>CONTROLE_DIARIO!D484</f>
        <v>0</v>
      </c>
      <c r="E483" s="3">
        <f>CONTROLE_DIARIO!E484</f>
        <v>0</v>
      </c>
      <c r="F483" s="3">
        <f>CONTROLE_DIARIO!F484</f>
        <v>0</v>
      </c>
      <c r="G483" s="3">
        <f>CONTROLE_DIARIO!G484</f>
        <v>0</v>
      </c>
      <c r="H483" s="3">
        <f>CONTROLE_DIARIO!H484</f>
        <v>0</v>
      </c>
      <c r="I483" s="3">
        <f>CONTROLE_DIARIO!I484</f>
        <v>0</v>
      </c>
      <c r="J483" s="3" t="str">
        <f>CONTROLE_DIARIO!J484</f>
        <v/>
      </c>
      <c r="K483" s="3" t="str">
        <f>CONTROLE_DIARIO!K484</f>
        <v/>
      </c>
      <c r="L483" s="51">
        <f>CONTROLE_DIARIO!L484</f>
        <v>0</v>
      </c>
      <c r="M483" s="51">
        <f>CONTROLE_DIARIO!M484</f>
        <v>0</v>
      </c>
      <c r="N483" s="3">
        <f>CONTROLE_DIARIO!N484</f>
        <v>0</v>
      </c>
      <c r="O483" s="3" t="str">
        <f>CONTROLE_DIARIO!O484</f>
        <v/>
      </c>
      <c r="P483" s="51" t="str">
        <f>CONTROLE_DIARIO!P484</f>
        <v/>
      </c>
      <c r="Q483" s="6">
        <f t="shared" si="54"/>
        <v>0</v>
      </c>
      <c r="R483" s="54" t="str">
        <f t="shared" si="55"/>
        <v>OK</v>
      </c>
      <c r="S483" s="3" t="str">
        <f t="shared" si="56"/>
        <v>jan/yy</v>
      </c>
      <c r="T483" s="3">
        <f t="shared" si="57"/>
        <v>1</v>
      </c>
      <c r="U483" s="3">
        <f t="shared" si="58"/>
        <v>1900</v>
      </c>
      <c r="V483" s="6">
        <f t="shared" si="59"/>
        <v>0</v>
      </c>
      <c r="W483" s="3" t="str">
        <f t="shared" si="60"/>
        <v>CRÍTICO</v>
      </c>
    </row>
    <row r="484" spans="1:23" x14ac:dyDescent="0.25">
      <c r="A484" s="2">
        <f>CONTROLE_DIARIO!A485</f>
        <v>0</v>
      </c>
      <c r="B484" s="51">
        <f>CONTROLE_DIARIO!B485</f>
        <v>0</v>
      </c>
      <c r="C484" s="3">
        <f>CONTROLE_DIARIO!C485</f>
        <v>0</v>
      </c>
      <c r="D484" s="3">
        <f>CONTROLE_DIARIO!D485</f>
        <v>0</v>
      </c>
      <c r="E484" s="3">
        <f>CONTROLE_DIARIO!E485</f>
        <v>0</v>
      </c>
      <c r="F484" s="3">
        <f>CONTROLE_DIARIO!F485</f>
        <v>0</v>
      </c>
      <c r="G484" s="3">
        <f>CONTROLE_DIARIO!G485</f>
        <v>0</v>
      </c>
      <c r="H484" s="3">
        <f>CONTROLE_DIARIO!H485</f>
        <v>0</v>
      </c>
      <c r="I484" s="3">
        <f>CONTROLE_DIARIO!I485</f>
        <v>0</v>
      </c>
      <c r="J484" s="3" t="str">
        <f>CONTROLE_DIARIO!J485</f>
        <v/>
      </c>
      <c r="K484" s="3" t="str">
        <f>CONTROLE_DIARIO!K485</f>
        <v/>
      </c>
      <c r="L484" s="51">
        <f>CONTROLE_DIARIO!L485</f>
        <v>0</v>
      </c>
      <c r="M484" s="51">
        <f>CONTROLE_DIARIO!M485</f>
        <v>0</v>
      </c>
      <c r="N484" s="3">
        <f>CONTROLE_DIARIO!N485</f>
        <v>0</v>
      </c>
      <c r="O484" s="3" t="str">
        <f>CONTROLE_DIARIO!O485</f>
        <v/>
      </c>
      <c r="P484" s="51" t="str">
        <f>CONTROLE_DIARIO!P485</f>
        <v/>
      </c>
      <c r="Q484" s="6">
        <f t="shared" si="54"/>
        <v>0</v>
      </c>
      <c r="R484" s="54" t="str">
        <f t="shared" si="55"/>
        <v>OK</v>
      </c>
      <c r="S484" s="3" t="str">
        <f t="shared" si="56"/>
        <v>jan/yy</v>
      </c>
      <c r="T484" s="3">
        <f t="shared" si="57"/>
        <v>1</v>
      </c>
      <c r="U484" s="3">
        <f t="shared" si="58"/>
        <v>1900</v>
      </c>
      <c r="V484" s="6">
        <f t="shared" si="59"/>
        <v>0</v>
      </c>
      <c r="W484" s="3" t="str">
        <f t="shared" si="60"/>
        <v>CRÍTICO</v>
      </c>
    </row>
    <row r="485" spans="1:23" x14ac:dyDescent="0.25">
      <c r="A485" s="2">
        <f>CONTROLE_DIARIO!A486</f>
        <v>0</v>
      </c>
      <c r="B485" s="51">
        <f>CONTROLE_DIARIO!B486</f>
        <v>0</v>
      </c>
      <c r="C485" s="3">
        <f>CONTROLE_DIARIO!C486</f>
        <v>0</v>
      </c>
      <c r="D485" s="3">
        <f>CONTROLE_DIARIO!D486</f>
        <v>0</v>
      </c>
      <c r="E485" s="3">
        <f>CONTROLE_DIARIO!E486</f>
        <v>0</v>
      </c>
      <c r="F485" s="3">
        <f>CONTROLE_DIARIO!F486</f>
        <v>0</v>
      </c>
      <c r="G485" s="3">
        <f>CONTROLE_DIARIO!G486</f>
        <v>0</v>
      </c>
      <c r="H485" s="3">
        <f>CONTROLE_DIARIO!H486</f>
        <v>0</v>
      </c>
      <c r="I485" s="3">
        <f>CONTROLE_DIARIO!I486</f>
        <v>0</v>
      </c>
      <c r="J485" s="3" t="str">
        <f>CONTROLE_DIARIO!J486</f>
        <v/>
      </c>
      <c r="K485" s="3" t="str">
        <f>CONTROLE_DIARIO!K486</f>
        <v/>
      </c>
      <c r="L485" s="51">
        <f>CONTROLE_DIARIO!L486</f>
        <v>0</v>
      </c>
      <c r="M485" s="51">
        <f>CONTROLE_DIARIO!M486</f>
        <v>0</v>
      </c>
      <c r="N485" s="3">
        <f>CONTROLE_DIARIO!N486</f>
        <v>0</v>
      </c>
      <c r="O485" s="3" t="str">
        <f>CONTROLE_DIARIO!O486</f>
        <v/>
      </c>
      <c r="P485" s="51" t="str">
        <f>CONTROLE_DIARIO!P486</f>
        <v/>
      </c>
      <c r="Q485" s="6">
        <f t="shared" si="54"/>
        <v>0</v>
      </c>
      <c r="R485" s="54" t="str">
        <f t="shared" si="55"/>
        <v>OK</v>
      </c>
      <c r="S485" s="3" t="str">
        <f t="shared" si="56"/>
        <v>jan/yy</v>
      </c>
      <c r="T485" s="3">
        <f t="shared" si="57"/>
        <v>1</v>
      </c>
      <c r="U485" s="3">
        <f t="shared" si="58"/>
        <v>1900</v>
      </c>
      <c r="V485" s="6">
        <f t="shared" si="59"/>
        <v>0</v>
      </c>
      <c r="W485" s="3" t="str">
        <f t="shared" si="60"/>
        <v>CRÍTICO</v>
      </c>
    </row>
    <row r="486" spans="1:23" x14ac:dyDescent="0.25">
      <c r="A486" s="2">
        <f>CONTROLE_DIARIO!A487</f>
        <v>0</v>
      </c>
      <c r="B486" s="51">
        <f>CONTROLE_DIARIO!B487</f>
        <v>0</v>
      </c>
      <c r="C486" s="3">
        <f>CONTROLE_DIARIO!C487</f>
        <v>0</v>
      </c>
      <c r="D486" s="3">
        <f>CONTROLE_DIARIO!D487</f>
        <v>0</v>
      </c>
      <c r="E486" s="3">
        <f>CONTROLE_DIARIO!E487</f>
        <v>0</v>
      </c>
      <c r="F486" s="3">
        <f>CONTROLE_DIARIO!F487</f>
        <v>0</v>
      </c>
      <c r="G486" s="3">
        <f>CONTROLE_DIARIO!G487</f>
        <v>0</v>
      </c>
      <c r="H486" s="3">
        <f>CONTROLE_DIARIO!H487</f>
        <v>0</v>
      </c>
      <c r="I486" s="3">
        <f>CONTROLE_DIARIO!I487</f>
        <v>0</v>
      </c>
      <c r="J486" s="3" t="str">
        <f>CONTROLE_DIARIO!J487</f>
        <v/>
      </c>
      <c r="K486" s="3" t="str">
        <f>CONTROLE_DIARIO!K487</f>
        <v/>
      </c>
      <c r="L486" s="51">
        <f>CONTROLE_DIARIO!L487</f>
        <v>0</v>
      </c>
      <c r="M486" s="51">
        <f>CONTROLE_DIARIO!M487</f>
        <v>0</v>
      </c>
      <c r="N486" s="3">
        <f>CONTROLE_DIARIO!N487</f>
        <v>0</v>
      </c>
      <c r="O486" s="3" t="str">
        <f>CONTROLE_DIARIO!O487</f>
        <v/>
      </c>
      <c r="P486" s="51" t="str">
        <f>CONTROLE_DIARIO!P487</f>
        <v/>
      </c>
      <c r="Q486" s="6">
        <f t="shared" si="54"/>
        <v>0</v>
      </c>
      <c r="R486" s="54" t="str">
        <f t="shared" si="55"/>
        <v>OK</v>
      </c>
      <c r="S486" s="3" t="str">
        <f t="shared" si="56"/>
        <v>jan/yy</v>
      </c>
      <c r="T486" s="3">
        <f t="shared" si="57"/>
        <v>1</v>
      </c>
      <c r="U486" s="3">
        <f t="shared" si="58"/>
        <v>1900</v>
      </c>
      <c r="V486" s="6">
        <f t="shared" si="59"/>
        <v>0</v>
      </c>
      <c r="W486" s="3" t="str">
        <f t="shared" si="60"/>
        <v>CRÍTICO</v>
      </c>
    </row>
    <row r="487" spans="1:23" x14ac:dyDescent="0.25">
      <c r="A487" s="2">
        <f>CONTROLE_DIARIO!A488</f>
        <v>0</v>
      </c>
      <c r="B487" s="51">
        <f>CONTROLE_DIARIO!B488</f>
        <v>0</v>
      </c>
      <c r="C487" s="3">
        <f>CONTROLE_DIARIO!C488</f>
        <v>0</v>
      </c>
      <c r="D487" s="3">
        <f>CONTROLE_DIARIO!D488</f>
        <v>0</v>
      </c>
      <c r="E487" s="3">
        <f>CONTROLE_DIARIO!E488</f>
        <v>0</v>
      </c>
      <c r="F487" s="3">
        <f>CONTROLE_DIARIO!F488</f>
        <v>0</v>
      </c>
      <c r="G487" s="3">
        <f>CONTROLE_DIARIO!G488</f>
        <v>0</v>
      </c>
      <c r="H487" s="3">
        <f>CONTROLE_DIARIO!H488</f>
        <v>0</v>
      </c>
      <c r="I487" s="3">
        <f>CONTROLE_DIARIO!I488</f>
        <v>0</v>
      </c>
      <c r="J487" s="3" t="str">
        <f>CONTROLE_DIARIO!J488</f>
        <v/>
      </c>
      <c r="K487" s="3" t="str">
        <f>CONTROLE_DIARIO!K488</f>
        <v/>
      </c>
      <c r="L487" s="51">
        <f>CONTROLE_DIARIO!L488</f>
        <v>0</v>
      </c>
      <c r="M487" s="51">
        <f>CONTROLE_DIARIO!M488</f>
        <v>0</v>
      </c>
      <c r="N487" s="3">
        <f>CONTROLE_DIARIO!N488</f>
        <v>0</v>
      </c>
      <c r="O487" s="3" t="str">
        <f>CONTROLE_DIARIO!O488</f>
        <v/>
      </c>
      <c r="P487" s="51" t="str">
        <f>CONTROLE_DIARIO!P488</f>
        <v/>
      </c>
      <c r="Q487" s="6">
        <f t="shared" si="54"/>
        <v>0</v>
      </c>
      <c r="R487" s="54" t="str">
        <f t="shared" si="55"/>
        <v>OK</v>
      </c>
      <c r="S487" s="3" t="str">
        <f t="shared" si="56"/>
        <v>jan/yy</v>
      </c>
      <c r="T487" s="3">
        <f t="shared" si="57"/>
        <v>1</v>
      </c>
      <c r="U487" s="3">
        <f t="shared" si="58"/>
        <v>1900</v>
      </c>
      <c r="V487" s="6">
        <f t="shared" si="59"/>
        <v>0</v>
      </c>
      <c r="W487" s="3" t="str">
        <f t="shared" si="60"/>
        <v>CRÍTICO</v>
      </c>
    </row>
    <row r="488" spans="1:23" x14ac:dyDescent="0.25">
      <c r="A488" s="2">
        <f>CONTROLE_DIARIO!A489</f>
        <v>0</v>
      </c>
      <c r="B488" s="51">
        <f>CONTROLE_DIARIO!B489</f>
        <v>0</v>
      </c>
      <c r="C488" s="3">
        <f>CONTROLE_DIARIO!C489</f>
        <v>0</v>
      </c>
      <c r="D488" s="3">
        <f>CONTROLE_DIARIO!D489</f>
        <v>0</v>
      </c>
      <c r="E488" s="3">
        <f>CONTROLE_DIARIO!E489</f>
        <v>0</v>
      </c>
      <c r="F488" s="3">
        <f>CONTROLE_DIARIO!F489</f>
        <v>0</v>
      </c>
      <c r="G488" s="3">
        <f>CONTROLE_DIARIO!G489</f>
        <v>0</v>
      </c>
      <c r="H488" s="3">
        <f>CONTROLE_DIARIO!H489</f>
        <v>0</v>
      </c>
      <c r="I488" s="3">
        <f>CONTROLE_DIARIO!I489</f>
        <v>0</v>
      </c>
      <c r="J488" s="3" t="str">
        <f>CONTROLE_DIARIO!J489</f>
        <v/>
      </c>
      <c r="K488" s="3" t="str">
        <f>CONTROLE_DIARIO!K489</f>
        <v/>
      </c>
      <c r="L488" s="51">
        <f>CONTROLE_DIARIO!L489</f>
        <v>0</v>
      </c>
      <c r="M488" s="51">
        <f>CONTROLE_DIARIO!M489</f>
        <v>0</v>
      </c>
      <c r="N488" s="3">
        <f>CONTROLE_DIARIO!N489</f>
        <v>0</v>
      </c>
      <c r="O488" s="3" t="str">
        <f>CONTROLE_DIARIO!O489</f>
        <v/>
      </c>
      <c r="P488" s="51" t="str">
        <f>CONTROLE_DIARIO!P489</f>
        <v/>
      </c>
      <c r="Q488" s="6">
        <f t="shared" si="54"/>
        <v>0</v>
      </c>
      <c r="R488" s="54" t="str">
        <f t="shared" si="55"/>
        <v>OK</v>
      </c>
      <c r="S488" s="3" t="str">
        <f t="shared" si="56"/>
        <v>jan/yy</v>
      </c>
      <c r="T488" s="3">
        <f t="shared" si="57"/>
        <v>1</v>
      </c>
      <c r="U488" s="3">
        <f t="shared" si="58"/>
        <v>1900</v>
      </c>
      <c r="V488" s="6">
        <f t="shared" si="59"/>
        <v>0</v>
      </c>
      <c r="W488" s="3" t="str">
        <f t="shared" si="60"/>
        <v>CRÍTICO</v>
      </c>
    </row>
    <row r="489" spans="1:23" x14ac:dyDescent="0.25">
      <c r="A489" s="2">
        <f>CONTROLE_DIARIO!A490</f>
        <v>0</v>
      </c>
      <c r="B489" s="51">
        <f>CONTROLE_DIARIO!B490</f>
        <v>0</v>
      </c>
      <c r="C489" s="3">
        <f>CONTROLE_DIARIO!C490</f>
        <v>0</v>
      </c>
      <c r="D489" s="3">
        <f>CONTROLE_DIARIO!D490</f>
        <v>0</v>
      </c>
      <c r="E489" s="3">
        <f>CONTROLE_DIARIO!E490</f>
        <v>0</v>
      </c>
      <c r="F489" s="3">
        <f>CONTROLE_DIARIO!F490</f>
        <v>0</v>
      </c>
      <c r="G489" s="3">
        <f>CONTROLE_DIARIO!G490</f>
        <v>0</v>
      </c>
      <c r="H489" s="3">
        <f>CONTROLE_DIARIO!H490</f>
        <v>0</v>
      </c>
      <c r="I489" s="3">
        <f>CONTROLE_DIARIO!I490</f>
        <v>0</v>
      </c>
      <c r="J489" s="3" t="str">
        <f>CONTROLE_DIARIO!J490</f>
        <v/>
      </c>
      <c r="K489" s="3" t="str">
        <f>CONTROLE_DIARIO!K490</f>
        <v/>
      </c>
      <c r="L489" s="51">
        <f>CONTROLE_DIARIO!L490</f>
        <v>0</v>
      </c>
      <c r="M489" s="51">
        <f>CONTROLE_DIARIO!M490</f>
        <v>0</v>
      </c>
      <c r="N489" s="3">
        <f>CONTROLE_DIARIO!N490</f>
        <v>0</v>
      </c>
      <c r="O489" s="3" t="str">
        <f>CONTROLE_DIARIO!O490</f>
        <v/>
      </c>
      <c r="P489" s="51" t="str">
        <f>CONTROLE_DIARIO!P490</f>
        <v/>
      </c>
      <c r="Q489" s="6">
        <f t="shared" si="54"/>
        <v>0</v>
      </c>
      <c r="R489" s="54" t="str">
        <f t="shared" si="55"/>
        <v>OK</v>
      </c>
      <c r="S489" s="3" t="str">
        <f t="shared" si="56"/>
        <v>jan/yy</v>
      </c>
      <c r="T489" s="3">
        <f t="shared" si="57"/>
        <v>1</v>
      </c>
      <c r="U489" s="3">
        <f t="shared" si="58"/>
        <v>1900</v>
      </c>
      <c r="V489" s="6">
        <f t="shared" si="59"/>
        <v>0</v>
      </c>
      <c r="W489" s="3" t="str">
        <f t="shared" si="60"/>
        <v>CRÍTICO</v>
      </c>
    </row>
    <row r="490" spans="1:23" x14ac:dyDescent="0.25">
      <c r="A490" s="2">
        <f>CONTROLE_DIARIO!A491</f>
        <v>0</v>
      </c>
      <c r="B490" s="51">
        <f>CONTROLE_DIARIO!B491</f>
        <v>0</v>
      </c>
      <c r="C490" s="3">
        <f>CONTROLE_DIARIO!C491</f>
        <v>0</v>
      </c>
      <c r="D490" s="3">
        <f>CONTROLE_DIARIO!D491</f>
        <v>0</v>
      </c>
      <c r="E490" s="3">
        <f>CONTROLE_DIARIO!E491</f>
        <v>0</v>
      </c>
      <c r="F490" s="3">
        <f>CONTROLE_DIARIO!F491</f>
        <v>0</v>
      </c>
      <c r="G490" s="3">
        <f>CONTROLE_DIARIO!G491</f>
        <v>0</v>
      </c>
      <c r="H490" s="3">
        <f>CONTROLE_DIARIO!H491</f>
        <v>0</v>
      </c>
      <c r="I490" s="3">
        <f>CONTROLE_DIARIO!I491</f>
        <v>0</v>
      </c>
      <c r="J490" s="3" t="str">
        <f>CONTROLE_DIARIO!J491</f>
        <v/>
      </c>
      <c r="K490" s="3" t="str">
        <f>CONTROLE_DIARIO!K491</f>
        <v/>
      </c>
      <c r="L490" s="51">
        <f>CONTROLE_DIARIO!L491</f>
        <v>0</v>
      </c>
      <c r="M490" s="51">
        <f>CONTROLE_DIARIO!M491</f>
        <v>0</v>
      </c>
      <c r="N490" s="3">
        <f>CONTROLE_DIARIO!N491</f>
        <v>0</v>
      </c>
      <c r="O490" s="3" t="str">
        <f>CONTROLE_DIARIO!O491</f>
        <v/>
      </c>
      <c r="P490" s="51" t="str">
        <f>CONTROLE_DIARIO!P491</f>
        <v/>
      </c>
      <c r="Q490" s="6">
        <f t="shared" si="54"/>
        <v>0</v>
      </c>
      <c r="R490" s="54" t="str">
        <f t="shared" si="55"/>
        <v>OK</v>
      </c>
      <c r="S490" s="3" t="str">
        <f t="shared" si="56"/>
        <v>jan/yy</v>
      </c>
      <c r="T490" s="3">
        <f t="shared" si="57"/>
        <v>1</v>
      </c>
      <c r="U490" s="3">
        <f t="shared" si="58"/>
        <v>1900</v>
      </c>
      <c r="V490" s="6">
        <f t="shared" si="59"/>
        <v>0</v>
      </c>
      <c r="W490" s="3" t="str">
        <f t="shared" si="60"/>
        <v>CRÍTICO</v>
      </c>
    </row>
    <row r="491" spans="1:23" x14ac:dyDescent="0.25">
      <c r="A491" s="2">
        <f>CONTROLE_DIARIO!A492</f>
        <v>0</v>
      </c>
      <c r="B491" s="51">
        <f>CONTROLE_DIARIO!B492</f>
        <v>0</v>
      </c>
      <c r="C491" s="3">
        <f>CONTROLE_DIARIO!C492</f>
        <v>0</v>
      </c>
      <c r="D491" s="3">
        <f>CONTROLE_DIARIO!D492</f>
        <v>0</v>
      </c>
      <c r="E491" s="3">
        <f>CONTROLE_DIARIO!E492</f>
        <v>0</v>
      </c>
      <c r="F491" s="3">
        <f>CONTROLE_DIARIO!F492</f>
        <v>0</v>
      </c>
      <c r="G491" s="3">
        <f>CONTROLE_DIARIO!G492</f>
        <v>0</v>
      </c>
      <c r="H491" s="3">
        <f>CONTROLE_DIARIO!H492</f>
        <v>0</v>
      </c>
      <c r="I491" s="3">
        <f>CONTROLE_DIARIO!I492</f>
        <v>0</v>
      </c>
      <c r="J491" s="3" t="str">
        <f>CONTROLE_DIARIO!J492</f>
        <v/>
      </c>
      <c r="K491" s="3" t="str">
        <f>CONTROLE_DIARIO!K492</f>
        <v/>
      </c>
      <c r="L491" s="51">
        <f>CONTROLE_DIARIO!L492</f>
        <v>0</v>
      </c>
      <c r="M491" s="51">
        <f>CONTROLE_DIARIO!M492</f>
        <v>0</v>
      </c>
      <c r="N491" s="3">
        <f>CONTROLE_DIARIO!N492</f>
        <v>0</v>
      </c>
      <c r="O491" s="3" t="str">
        <f>CONTROLE_DIARIO!O492</f>
        <v/>
      </c>
      <c r="P491" s="51" t="str">
        <f>CONTROLE_DIARIO!P492</f>
        <v/>
      </c>
      <c r="Q491" s="6">
        <f t="shared" si="54"/>
        <v>0</v>
      </c>
      <c r="R491" s="54" t="str">
        <f t="shared" si="55"/>
        <v>OK</v>
      </c>
      <c r="S491" s="3" t="str">
        <f t="shared" si="56"/>
        <v>jan/yy</v>
      </c>
      <c r="T491" s="3">
        <f t="shared" si="57"/>
        <v>1</v>
      </c>
      <c r="U491" s="3">
        <f t="shared" si="58"/>
        <v>1900</v>
      </c>
      <c r="V491" s="6">
        <f t="shared" si="59"/>
        <v>0</v>
      </c>
      <c r="W491" s="3" t="str">
        <f t="shared" si="60"/>
        <v>CRÍTICO</v>
      </c>
    </row>
    <row r="492" spans="1:23" x14ac:dyDescent="0.25">
      <c r="A492" s="2">
        <f>CONTROLE_DIARIO!A493</f>
        <v>0</v>
      </c>
      <c r="B492" s="51">
        <f>CONTROLE_DIARIO!B493</f>
        <v>0</v>
      </c>
      <c r="C492" s="3">
        <f>CONTROLE_DIARIO!C493</f>
        <v>0</v>
      </c>
      <c r="D492" s="3">
        <f>CONTROLE_DIARIO!D493</f>
        <v>0</v>
      </c>
      <c r="E492" s="3">
        <f>CONTROLE_DIARIO!E493</f>
        <v>0</v>
      </c>
      <c r="F492" s="3">
        <f>CONTROLE_DIARIO!F493</f>
        <v>0</v>
      </c>
      <c r="G492" s="3">
        <f>CONTROLE_DIARIO!G493</f>
        <v>0</v>
      </c>
      <c r="H492" s="3">
        <f>CONTROLE_DIARIO!H493</f>
        <v>0</v>
      </c>
      <c r="I492" s="3">
        <f>CONTROLE_DIARIO!I493</f>
        <v>0</v>
      </c>
      <c r="J492" s="3" t="str">
        <f>CONTROLE_DIARIO!J493</f>
        <v/>
      </c>
      <c r="K492" s="3" t="str">
        <f>CONTROLE_DIARIO!K493</f>
        <v/>
      </c>
      <c r="L492" s="51">
        <f>CONTROLE_DIARIO!L493</f>
        <v>0</v>
      </c>
      <c r="M492" s="51">
        <f>CONTROLE_DIARIO!M493</f>
        <v>0</v>
      </c>
      <c r="N492" s="3">
        <f>CONTROLE_DIARIO!N493</f>
        <v>0</v>
      </c>
      <c r="O492" s="3" t="str">
        <f>CONTROLE_DIARIO!O493</f>
        <v/>
      </c>
      <c r="P492" s="51" t="str">
        <f>CONTROLE_DIARIO!P493</f>
        <v/>
      </c>
      <c r="Q492" s="6">
        <f t="shared" si="54"/>
        <v>0</v>
      </c>
      <c r="R492" s="54" t="str">
        <f t="shared" si="55"/>
        <v>OK</v>
      </c>
      <c r="S492" s="3" t="str">
        <f t="shared" si="56"/>
        <v>jan/yy</v>
      </c>
      <c r="T492" s="3">
        <f t="shared" si="57"/>
        <v>1</v>
      </c>
      <c r="U492" s="3">
        <f t="shared" si="58"/>
        <v>1900</v>
      </c>
      <c r="V492" s="6">
        <f t="shared" si="59"/>
        <v>0</v>
      </c>
      <c r="W492" s="3" t="str">
        <f t="shared" si="60"/>
        <v>CRÍTICO</v>
      </c>
    </row>
    <row r="493" spans="1:23" x14ac:dyDescent="0.25">
      <c r="A493" s="2">
        <f>CONTROLE_DIARIO!A494</f>
        <v>0</v>
      </c>
      <c r="B493" s="51">
        <f>CONTROLE_DIARIO!B494</f>
        <v>0</v>
      </c>
      <c r="C493" s="3">
        <f>CONTROLE_DIARIO!C494</f>
        <v>0</v>
      </c>
      <c r="D493" s="3">
        <f>CONTROLE_DIARIO!D494</f>
        <v>0</v>
      </c>
      <c r="E493" s="3">
        <f>CONTROLE_DIARIO!E494</f>
        <v>0</v>
      </c>
      <c r="F493" s="3">
        <f>CONTROLE_DIARIO!F494</f>
        <v>0</v>
      </c>
      <c r="G493" s="3">
        <f>CONTROLE_DIARIO!G494</f>
        <v>0</v>
      </c>
      <c r="H493" s="3">
        <f>CONTROLE_DIARIO!H494</f>
        <v>0</v>
      </c>
      <c r="I493" s="3">
        <f>CONTROLE_DIARIO!I494</f>
        <v>0</v>
      </c>
      <c r="J493" s="3" t="str">
        <f>CONTROLE_DIARIO!J494</f>
        <v/>
      </c>
      <c r="K493" s="3" t="str">
        <f>CONTROLE_DIARIO!K494</f>
        <v/>
      </c>
      <c r="L493" s="51">
        <f>CONTROLE_DIARIO!L494</f>
        <v>0</v>
      </c>
      <c r="M493" s="51">
        <f>CONTROLE_DIARIO!M494</f>
        <v>0</v>
      </c>
      <c r="N493" s="3">
        <f>CONTROLE_DIARIO!N494</f>
        <v>0</v>
      </c>
      <c r="O493" s="3" t="str">
        <f>CONTROLE_DIARIO!O494</f>
        <v/>
      </c>
      <c r="P493" s="51" t="str">
        <f>CONTROLE_DIARIO!P494</f>
        <v/>
      </c>
      <c r="Q493" s="6">
        <f t="shared" si="54"/>
        <v>0</v>
      </c>
      <c r="R493" s="54" t="str">
        <f t="shared" si="55"/>
        <v>OK</v>
      </c>
      <c r="S493" s="3" t="str">
        <f t="shared" si="56"/>
        <v>jan/yy</v>
      </c>
      <c r="T493" s="3">
        <f t="shared" si="57"/>
        <v>1</v>
      </c>
      <c r="U493" s="3">
        <f t="shared" si="58"/>
        <v>1900</v>
      </c>
      <c r="V493" s="6">
        <f t="shared" si="59"/>
        <v>0</v>
      </c>
      <c r="W493" s="3" t="str">
        <f t="shared" si="60"/>
        <v>CRÍTICO</v>
      </c>
    </row>
    <row r="494" spans="1:23" x14ac:dyDescent="0.25">
      <c r="A494" s="2">
        <f>CONTROLE_DIARIO!A495</f>
        <v>0</v>
      </c>
      <c r="B494" s="51">
        <f>CONTROLE_DIARIO!B495</f>
        <v>0</v>
      </c>
      <c r="C494" s="3">
        <f>CONTROLE_DIARIO!C495</f>
        <v>0</v>
      </c>
      <c r="D494" s="3">
        <f>CONTROLE_DIARIO!D495</f>
        <v>0</v>
      </c>
      <c r="E494" s="3">
        <f>CONTROLE_DIARIO!E495</f>
        <v>0</v>
      </c>
      <c r="F494" s="3">
        <f>CONTROLE_DIARIO!F495</f>
        <v>0</v>
      </c>
      <c r="G494" s="3">
        <f>CONTROLE_DIARIO!G495</f>
        <v>0</v>
      </c>
      <c r="H494" s="3">
        <f>CONTROLE_DIARIO!H495</f>
        <v>0</v>
      </c>
      <c r="I494" s="3">
        <f>CONTROLE_DIARIO!I495</f>
        <v>0</v>
      </c>
      <c r="J494" s="3" t="str">
        <f>CONTROLE_DIARIO!J495</f>
        <v/>
      </c>
      <c r="K494" s="3" t="str">
        <f>CONTROLE_DIARIO!K495</f>
        <v/>
      </c>
      <c r="L494" s="51">
        <f>CONTROLE_DIARIO!L495</f>
        <v>0</v>
      </c>
      <c r="M494" s="51">
        <f>CONTROLE_DIARIO!M495</f>
        <v>0</v>
      </c>
      <c r="N494" s="3">
        <f>CONTROLE_DIARIO!N495</f>
        <v>0</v>
      </c>
      <c r="O494" s="3" t="str">
        <f>CONTROLE_DIARIO!O495</f>
        <v/>
      </c>
      <c r="P494" s="51" t="str">
        <f>CONTROLE_DIARIO!P495</f>
        <v/>
      </c>
      <c r="Q494" s="6">
        <f t="shared" si="54"/>
        <v>0</v>
      </c>
      <c r="R494" s="54" t="str">
        <f t="shared" si="55"/>
        <v>OK</v>
      </c>
      <c r="S494" s="3" t="str">
        <f t="shared" si="56"/>
        <v>jan/yy</v>
      </c>
      <c r="T494" s="3">
        <f t="shared" si="57"/>
        <v>1</v>
      </c>
      <c r="U494" s="3">
        <f t="shared" si="58"/>
        <v>1900</v>
      </c>
      <c r="V494" s="6">
        <f t="shared" si="59"/>
        <v>0</v>
      </c>
      <c r="W494" s="3" t="str">
        <f t="shared" si="60"/>
        <v>CRÍTICO</v>
      </c>
    </row>
    <row r="495" spans="1:23" x14ac:dyDescent="0.25">
      <c r="A495" s="2">
        <f>CONTROLE_DIARIO!A496</f>
        <v>0</v>
      </c>
      <c r="B495" s="51">
        <f>CONTROLE_DIARIO!B496</f>
        <v>0</v>
      </c>
      <c r="C495" s="3">
        <f>CONTROLE_DIARIO!C496</f>
        <v>0</v>
      </c>
      <c r="D495" s="3">
        <f>CONTROLE_DIARIO!D496</f>
        <v>0</v>
      </c>
      <c r="E495" s="3">
        <f>CONTROLE_DIARIO!E496</f>
        <v>0</v>
      </c>
      <c r="F495" s="3">
        <f>CONTROLE_DIARIO!F496</f>
        <v>0</v>
      </c>
      <c r="G495" s="3">
        <f>CONTROLE_DIARIO!G496</f>
        <v>0</v>
      </c>
      <c r="H495" s="3">
        <f>CONTROLE_DIARIO!H496</f>
        <v>0</v>
      </c>
      <c r="I495" s="3">
        <f>CONTROLE_DIARIO!I496</f>
        <v>0</v>
      </c>
      <c r="J495" s="3" t="str">
        <f>CONTROLE_DIARIO!J496</f>
        <v/>
      </c>
      <c r="K495" s="3" t="str">
        <f>CONTROLE_DIARIO!K496</f>
        <v/>
      </c>
      <c r="L495" s="51">
        <f>CONTROLE_DIARIO!L496</f>
        <v>0</v>
      </c>
      <c r="M495" s="51">
        <f>CONTROLE_DIARIO!M496</f>
        <v>0</v>
      </c>
      <c r="N495" s="3">
        <f>CONTROLE_DIARIO!N496</f>
        <v>0</v>
      </c>
      <c r="O495" s="3" t="str">
        <f>CONTROLE_DIARIO!O496</f>
        <v/>
      </c>
      <c r="P495" s="51" t="str">
        <f>CONTROLE_DIARIO!P496</f>
        <v/>
      </c>
      <c r="Q495" s="6">
        <f t="shared" si="54"/>
        <v>0</v>
      </c>
      <c r="R495" s="54" t="str">
        <f t="shared" si="55"/>
        <v>OK</v>
      </c>
      <c r="S495" s="3" t="str">
        <f t="shared" si="56"/>
        <v>jan/yy</v>
      </c>
      <c r="T495" s="3">
        <f t="shared" si="57"/>
        <v>1</v>
      </c>
      <c r="U495" s="3">
        <f t="shared" si="58"/>
        <v>1900</v>
      </c>
      <c r="V495" s="6">
        <f t="shared" si="59"/>
        <v>0</v>
      </c>
      <c r="W495" s="3" t="str">
        <f t="shared" si="60"/>
        <v>CRÍTICO</v>
      </c>
    </row>
    <row r="496" spans="1:23" x14ac:dyDescent="0.25">
      <c r="A496" s="2">
        <f>CONTROLE_DIARIO!A497</f>
        <v>0</v>
      </c>
      <c r="B496" s="51">
        <f>CONTROLE_DIARIO!B497</f>
        <v>0</v>
      </c>
      <c r="C496" s="3">
        <f>CONTROLE_DIARIO!C497</f>
        <v>0</v>
      </c>
      <c r="D496" s="3">
        <f>CONTROLE_DIARIO!D497</f>
        <v>0</v>
      </c>
      <c r="E496" s="3">
        <f>CONTROLE_DIARIO!E497</f>
        <v>0</v>
      </c>
      <c r="F496" s="3">
        <f>CONTROLE_DIARIO!F497</f>
        <v>0</v>
      </c>
      <c r="G496" s="3">
        <f>CONTROLE_DIARIO!G497</f>
        <v>0</v>
      </c>
      <c r="H496" s="3">
        <f>CONTROLE_DIARIO!H497</f>
        <v>0</v>
      </c>
      <c r="I496" s="3">
        <f>CONTROLE_DIARIO!I497</f>
        <v>0</v>
      </c>
      <c r="J496" s="3" t="str">
        <f>CONTROLE_DIARIO!J497</f>
        <v/>
      </c>
      <c r="K496" s="3" t="str">
        <f>CONTROLE_DIARIO!K497</f>
        <v/>
      </c>
      <c r="L496" s="51">
        <f>CONTROLE_DIARIO!L497</f>
        <v>0</v>
      </c>
      <c r="M496" s="51">
        <f>CONTROLE_DIARIO!M497</f>
        <v>0</v>
      </c>
      <c r="N496" s="3">
        <f>CONTROLE_DIARIO!N497</f>
        <v>0</v>
      </c>
      <c r="O496" s="3" t="str">
        <f>CONTROLE_DIARIO!O497</f>
        <v/>
      </c>
      <c r="P496" s="51" t="str">
        <f>CONTROLE_DIARIO!P497</f>
        <v/>
      </c>
      <c r="Q496" s="6">
        <f t="shared" si="54"/>
        <v>0</v>
      </c>
      <c r="R496" s="54" t="str">
        <f t="shared" si="55"/>
        <v>OK</v>
      </c>
      <c r="S496" s="3" t="str">
        <f t="shared" si="56"/>
        <v>jan/yy</v>
      </c>
      <c r="T496" s="3">
        <f t="shared" si="57"/>
        <v>1</v>
      </c>
      <c r="U496" s="3">
        <f t="shared" si="58"/>
        <v>1900</v>
      </c>
      <c r="V496" s="6">
        <f t="shared" si="59"/>
        <v>0</v>
      </c>
      <c r="W496" s="3" t="str">
        <f t="shared" si="60"/>
        <v>CRÍTICO</v>
      </c>
    </row>
    <row r="497" spans="1:23" x14ac:dyDescent="0.25">
      <c r="A497" s="2">
        <f>CONTROLE_DIARIO!A498</f>
        <v>0</v>
      </c>
      <c r="B497" s="51">
        <f>CONTROLE_DIARIO!B498</f>
        <v>0</v>
      </c>
      <c r="C497" s="3">
        <f>CONTROLE_DIARIO!C498</f>
        <v>0</v>
      </c>
      <c r="D497" s="3">
        <f>CONTROLE_DIARIO!D498</f>
        <v>0</v>
      </c>
      <c r="E497" s="3">
        <f>CONTROLE_DIARIO!E498</f>
        <v>0</v>
      </c>
      <c r="F497" s="3">
        <f>CONTROLE_DIARIO!F498</f>
        <v>0</v>
      </c>
      <c r="G497" s="3">
        <f>CONTROLE_DIARIO!G498</f>
        <v>0</v>
      </c>
      <c r="H497" s="3">
        <f>CONTROLE_DIARIO!H498</f>
        <v>0</v>
      </c>
      <c r="I497" s="3">
        <f>CONTROLE_DIARIO!I498</f>
        <v>0</v>
      </c>
      <c r="J497" s="3" t="str">
        <f>CONTROLE_DIARIO!J498</f>
        <v/>
      </c>
      <c r="K497" s="3" t="str">
        <f>CONTROLE_DIARIO!K498</f>
        <v/>
      </c>
      <c r="L497" s="51">
        <f>CONTROLE_DIARIO!L498</f>
        <v>0</v>
      </c>
      <c r="M497" s="51">
        <f>CONTROLE_DIARIO!M498</f>
        <v>0</v>
      </c>
      <c r="N497" s="3">
        <f>CONTROLE_DIARIO!N498</f>
        <v>0</v>
      </c>
      <c r="O497" s="3" t="str">
        <f>CONTROLE_DIARIO!O498</f>
        <v/>
      </c>
      <c r="P497" s="51" t="str">
        <f>CONTROLE_DIARIO!P498</f>
        <v/>
      </c>
      <c r="Q497" s="6">
        <f t="shared" si="54"/>
        <v>0</v>
      </c>
      <c r="R497" s="54" t="str">
        <f t="shared" si="55"/>
        <v>OK</v>
      </c>
      <c r="S497" s="3" t="str">
        <f t="shared" si="56"/>
        <v>jan/yy</v>
      </c>
      <c r="T497" s="3">
        <f t="shared" si="57"/>
        <v>1</v>
      </c>
      <c r="U497" s="3">
        <f t="shared" si="58"/>
        <v>1900</v>
      </c>
      <c r="V497" s="6">
        <f t="shared" si="59"/>
        <v>0</v>
      </c>
      <c r="W497" s="3" t="str">
        <f t="shared" si="60"/>
        <v>CRÍTICO</v>
      </c>
    </row>
    <row r="498" spans="1:23" x14ac:dyDescent="0.25">
      <c r="A498" s="2">
        <f>CONTROLE_DIARIO!A499</f>
        <v>0</v>
      </c>
      <c r="B498" s="51">
        <f>CONTROLE_DIARIO!B499</f>
        <v>0</v>
      </c>
      <c r="C498" s="3">
        <f>CONTROLE_DIARIO!C499</f>
        <v>0</v>
      </c>
      <c r="D498" s="3">
        <f>CONTROLE_DIARIO!D499</f>
        <v>0</v>
      </c>
      <c r="E498" s="3">
        <f>CONTROLE_DIARIO!E499</f>
        <v>0</v>
      </c>
      <c r="F498" s="3">
        <f>CONTROLE_DIARIO!F499</f>
        <v>0</v>
      </c>
      <c r="G498" s="3">
        <f>CONTROLE_DIARIO!G499</f>
        <v>0</v>
      </c>
      <c r="H498" s="3">
        <f>CONTROLE_DIARIO!H499</f>
        <v>0</v>
      </c>
      <c r="I498" s="3">
        <f>CONTROLE_DIARIO!I499</f>
        <v>0</v>
      </c>
      <c r="J498" s="3" t="str">
        <f>CONTROLE_DIARIO!J499</f>
        <v/>
      </c>
      <c r="K498" s="3" t="str">
        <f>CONTROLE_DIARIO!K499</f>
        <v/>
      </c>
      <c r="L498" s="51">
        <f>CONTROLE_DIARIO!L499</f>
        <v>0</v>
      </c>
      <c r="M498" s="51">
        <f>CONTROLE_DIARIO!M499</f>
        <v>0</v>
      </c>
      <c r="N498" s="3">
        <f>CONTROLE_DIARIO!N499</f>
        <v>0</v>
      </c>
      <c r="O498" s="3" t="str">
        <f>CONTROLE_DIARIO!O499</f>
        <v/>
      </c>
      <c r="P498" s="51" t="str">
        <f>CONTROLE_DIARIO!P499</f>
        <v/>
      </c>
      <c r="Q498" s="6">
        <f t="shared" si="54"/>
        <v>0</v>
      </c>
      <c r="R498" s="54" t="str">
        <f t="shared" si="55"/>
        <v>OK</v>
      </c>
      <c r="S498" s="3" t="str">
        <f t="shared" si="56"/>
        <v>jan/yy</v>
      </c>
      <c r="T498" s="3">
        <f t="shared" si="57"/>
        <v>1</v>
      </c>
      <c r="U498" s="3">
        <f t="shared" si="58"/>
        <v>1900</v>
      </c>
      <c r="V498" s="6">
        <f t="shared" si="59"/>
        <v>0</v>
      </c>
      <c r="W498" s="3" t="str">
        <f t="shared" si="60"/>
        <v>CRÍTICO</v>
      </c>
    </row>
    <row r="499" spans="1:23" x14ac:dyDescent="0.25">
      <c r="A499" s="2">
        <f>CONTROLE_DIARIO!A500</f>
        <v>0</v>
      </c>
      <c r="B499" s="51">
        <f>CONTROLE_DIARIO!B500</f>
        <v>0</v>
      </c>
      <c r="C499" s="3">
        <f>CONTROLE_DIARIO!C500</f>
        <v>0</v>
      </c>
      <c r="D499" s="3">
        <f>CONTROLE_DIARIO!D500</f>
        <v>0</v>
      </c>
      <c r="E499" s="3">
        <f>CONTROLE_DIARIO!E500</f>
        <v>0</v>
      </c>
      <c r="F499" s="3">
        <f>CONTROLE_DIARIO!F500</f>
        <v>0</v>
      </c>
      <c r="G499" s="3">
        <f>CONTROLE_DIARIO!G500</f>
        <v>0</v>
      </c>
      <c r="H499" s="3">
        <f>CONTROLE_DIARIO!H500</f>
        <v>0</v>
      </c>
      <c r="I499" s="3">
        <f>CONTROLE_DIARIO!I500</f>
        <v>0</v>
      </c>
      <c r="J499" s="3" t="str">
        <f>CONTROLE_DIARIO!J500</f>
        <v/>
      </c>
      <c r="K499" s="3" t="str">
        <f>CONTROLE_DIARIO!K500</f>
        <v/>
      </c>
      <c r="L499" s="51">
        <f>CONTROLE_DIARIO!L500</f>
        <v>0</v>
      </c>
      <c r="M499" s="51">
        <f>CONTROLE_DIARIO!M500</f>
        <v>0</v>
      </c>
      <c r="N499" s="3">
        <f>CONTROLE_DIARIO!N500</f>
        <v>0</v>
      </c>
      <c r="O499" s="3" t="str">
        <f>CONTROLE_DIARIO!O500</f>
        <v/>
      </c>
      <c r="P499" s="51" t="str">
        <f>CONTROLE_DIARIO!P500</f>
        <v/>
      </c>
      <c r="Q499" s="6">
        <f t="shared" si="54"/>
        <v>0</v>
      </c>
      <c r="R499" s="54" t="str">
        <f t="shared" si="55"/>
        <v>OK</v>
      </c>
      <c r="S499" s="3" t="str">
        <f t="shared" si="56"/>
        <v>jan/yy</v>
      </c>
      <c r="T499" s="3">
        <f t="shared" si="57"/>
        <v>1</v>
      </c>
      <c r="U499" s="3">
        <f t="shared" si="58"/>
        <v>1900</v>
      </c>
      <c r="V499" s="6">
        <f t="shared" si="59"/>
        <v>0</v>
      </c>
      <c r="W499" s="3" t="str">
        <f t="shared" si="60"/>
        <v>CRÍTICO</v>
      </c>
    </row>
    <row r="500" spans="1:23" x14ac:dyDescent="0.25">
      <c r="A500" s="2">
        <f>CONTROLE_DIARIO!A501</f>
        <v>0</v>
      </c>
      <c r="B500" s="51">
        <f>CONTROLE_DIARIO!B501</f>
        <v>0</v>
      </c>
      <c r="C500" s="3">
        <f>CONTROLE_DIARIO!C501</f>
        <v>0</v>
      </c>
      <c r="D500" s="3">
        <f>CONTROLE_DIARIO!D501</f>
        <v>0</v>
      </c>
      <c r="E500" s="3">
        <f>CONTROLE_DIARIO!E501</f>
        <v>0</v>
      </c>
      <c r="F500" s="3">
        <f>CONTROLE_DIARIO!F501</f>
        <v>0</v>
      </c>
      <c r="G500" s="3">
        <f>CONTROLE_DIARIO!G501</f>
        <v>0</v>
      </c>
      <c r="H500" s="3">
        <f>CONTROLE_DIARIO!H501</f>
        <v>0</v>
      </c>
      <c r="I500" s="3">
        <f>CONTROLE_DIARIO!I501</f>
        <v>0</v>
      </c>
      <c r="J500" s="3" t="str">
        <f>CONTROLE_DIARIO!J501</f>
        <v/>
      </c>
      <c r="K500" s="3" t="str">
        <f>CONTROLE_DIARIO!K501</f>
        <v/>
      </c>
      <c r="L500" s="51">
        <f>CONTROLE_DIARIO!L501</f>
        <v>0</v>
      </c>
      <c r="M500" s="51">
        <f>CONTROLE_DIARIO!M501</f>
        <v>0</v>
      </c>
      <c r="N500" s="3">
        <f>CONTROLE_DIARIO!N501</f>
        <v>0</v>
      </c>
      <c r="O500" s="3" t="str">
        <f>CONTROLE_DIARIO!O501</f>
        <v/>
      </c>
      <c r="P500" s="51" t="str">
        <f>CONTROLE_DIARIO!P501</f>
        <v/>
      </c>
      <c r="Q500" s="6">
        <f t="shared" si="54"/>
        <v>0</v>
      </c>
      <c r="R500" s="54" t="str">
        <f t="shared" si="55"/>
        <v>OK</v>
      </c>
      <c r="S500" s="3" t="str">
        <f t="shared" si="56"/>
        <v>jan/yy</v>
      </c>
      <c r="T500" s="3">
        <f t="shared" si="57"/>
        <v>1</v>
      </c>
      <c r="U500" s="3">
        <f t="shared" si="58"/>
        <v>1900</v>
      </c>
      <c r="V500" s="6">
        <f t="shared" si="59"/>
        <v>0</v>
      </c>
      <c r="W500" s="3" t="str">
        <f t="shared" si="60"/>
        <v>CRÍTICO</v>
      </c>
    </row>
  </sheetData>
  <mergeCells count="1">
    <mergeCell ref="A1:W2"/>
  </mergeCells>
  <conditionalFormatting sqref="K5:K500">
    <cfRule type="cellIs" dxfId="22" priority="1" operator="equal">
      <formula>"OK"</formula>
    </cfRule>
    <cfRule type="cellIs" dxfId="21" priority="2" operator="equal">
      <formula>"NOK"</formula>
    </cfRule>
  </conditionalFormatting>
  <conditionalFormatting sqref="W5:W500">
    <cfRule type="cellIs" dxfId="20" priority="3" operator="equal">
      <formula>"CRÍTICO"</formula>
    </cfRule>
    <cfRule type="cellIs" dxfId="19" priority="4" operator="equal">
      <formula>"ATENÇÃO"</formula>
    </cfRule>
    <cfRule type="cellIs" dxfId="18" priority="5" operator="equal">
      <formula>"OK"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DASHBOARD GERAL</vt:lpstr>
      <vt:lpstr>DASHBOARD ADE</vt:lpstr>
      <vt:lpstr>DASHBOARD PIS</vt:lpstr>
      <vt:lpstr>DASHBOARD ASA</vt:lpstr>
      <vt:lpstr>DASHBOARD VAL</vt:lpstr>
      <vt:lpstr>GERENTES</vt:lpstr>
      <vt:lpstr>CONTROLE_DIARIO</vt:lpstr>
      <vt:lpstr>INSTRUÇÕES</vt:lpstr>
      <vt:lpstr>POWER_BI</vt:lpstr>
      <vt:lpstr>AUXILIAR</vt:lpstr>
      <vt:lpstr>TRATAMENTO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herbert yan</cp:lastModifiedBy>
  <dcterms:created xsi:type="dcterms:W3CDTF">2026-05-05T14:04:31Z</dcterms:created>
  <dcterms:modified xsi:type="dcterms:W3CDTF">2026-05-21T11:25:26Z</dcterms:modified>
</cp:coreProperties>
</file>